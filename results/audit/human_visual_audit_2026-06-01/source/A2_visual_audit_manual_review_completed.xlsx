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Protocol" sheetId="1" r:id="rId1"/>
    <sheet name="Manual_Audit" sheetId="2" r:id="rId2"/>
    <sheet name="Codeboo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<sst xmlns="http://schemas.openxmlformats.org/spreadsheetml/2006/main" count="1311" uniqueCount="265">
  <si>
    <t>A2 Independent Human Visual Audit</t>
  </si>
  <si>
    <t>Reviewer metadata</t>
  </si>
  <si>
    <t>Enter before starting</t>
  </si>
  <si>
    <t>Reviewer ID</t>
  </si>
  <si>
    <t>Reviewer role</t>
  </si>
  <si>
    <t>Review date</t>
  </si>
  <si>
    <t>Review type</t>
  </si>
  <si>
    <t>Workbook status</t>
  </si>
  <si>
    <t>frozen_complete</t>
  </si>
  <si>
    <t>Notes</t>
  </si>
  <si>
    <t>Workflow</t>
  </si>
  <si>
    <t/>
  </si>
  <si>
    <t>1</t>
  </si>
  <si>
    <t>Open blind_gallery.html or images/.</t>
  </si>
  <si>
    <t>2</t>
  </si>
  <si>
    <t>Use the matching VC-### review ID in Manual_Audit.</t>
  </si>
  <si>
    <t>3</t>
  </si>
  <si>
    <t>Complete every required dropdown. Notes are optional but encouraged for exclusions.</t>
  </si>
  <si>
    <t>4</t>
  </si>
  <si>
    <t>Do not open DO_NOT_OPEN_UNTIL_REVIEW_COMPLETE/ before the workbook is frozen.</t>
  </si>
  <si>
    <t>5</t>
  </si>
  <si>
    <t>Save the completed workbook under a new filename and return it for unblinding.</t>
  </si>
  <si>
    <t>Completion summary</t>
  </si>
  <si>
    <t>Metric</t>
  </si>
  <si>
    <t>Value</t>
  </si>
  <si>
    <t>Rows total</t>
  </si>
  <si>
    <t>Rows complete</t>
  </si>
  <si>
    <t>Rows remaining</t>
  </si>
  <si>
    <t>Blinding note</t>
  </si>
  <si>
    <t>The workbook hides target/control status, pairing, original filenames, prompts, model outputs, dataset sources, and previous annotations.</t>
  </si>
  <si>
    <t>Describe the final audit as independent only when the reviewer did not participate in the previous auto-filled audit or manuscript analysis.</t>
  </si>
  <si>
    <t>review_id</t>
  </si>
  <si>
    <t>image_file</t>
  </si>
  <si>
    <t>review_status</t>
  </si>
  <si>
    <t>body_color_visible</t>
  </si>
  <si>
    <t>visual_clarity</t>
  </si>
  <si>
    <t>body_color_salience</t>
  </si>
  <si>
    <t>specular_reflection</t>
  </si>
  <si>
    <t>shadow_or_night_effect</t>
  </si>
  <si>
    <t>background_color_bias</t>
  </si>
  <si>
    <t>multi_car_interference</t>
  </si>
  <si>
    <t>occlusion</t>
  </si>
  <si>
    <t>include_in_validity_analysis</t>
  </si>
  <si>
    <t>audit_notes</t>
  </si>
  <si>
    <t>reviewer_initials</t>
  </si>
  <si>
    <t>row_complete</t>
  </si>
  <si>
    <t>VC-001</t>
  </si>
  <si>
    <t>images/VC-001.jpg</t>
  </si>
  <si>
    <t>complete</t>
  </si>
  <si>
    <t>yes</t>
  </si>
  <si>
    <t>clear</t>
  </si>
  <si>
    <t>medium</t>
  </si>
  <si>
    <t>none_minor</t>
  </si>
  <si>
    <t>none</t>
  </si>
  <si>
    <t>include</t>
  </si>
  <si>
    <t>Yutong Liu</t>
  </si>
  <si>
    <t>VC-002</t>
  </si>
  <si>
    <t>images/VC-002.jpg</t>
  </si>
  <si>
    <t>high</t>
  </si>
  <si>
    <t>moderate</t>
  </si>
  <si>
    <t>VC-003</t>
  </si>
  <si>
    <t>images/VC-003.jpg</t>
  </si>
  <si>
    <t>VC-004</t>
  </si>
  <si>
    <t>images/VC-004.jpg</t>
  </si>
  <si>
    <t>VC-005</t>
  </si>
  <si>
    <t>images/VC-005.jpg</t>
  </si>
  <si>
    <t>VC-006</t>
  </si>
  <si>
    <t>images/VC-006.jpg</t>
  </si>
  <si>
    <t>VC-007</t>
  </si>
  <si>
    <t>images/VC-007.jpg</t>
  </si>
  <si>
    <t>minor</t>
  </si>
  <si>
    <t>VC-008</t>
  </si>
  <si>
    <t>images/VC-008.jpg</t>
  </si>
  <si>
    <t>partly</t>
  </si>
  <si>
    <t>Blue racing stripes alter the white body-colour read, but the main body remains judgeable.</t>
  </si>
  <si>
    <t>VC-009</t>
  </si>
  <si>
    <t>images/VC-009.jpg</t>
  </si>
  <si>
    <t>VC-010</t>
  </si>
  <si>
    <t>images/VC-010.jpg</t>
  </si>
  <si>
    <t>VC-011</t>
  </si>
  <si>
    <t>images/VC-011.jpg</t>
  </si>
  <si>
    <t>VC-012</t>
  </si>
  <si>
    <t>images/VC-012.jpg</t>
  </si>
  <si>
    <t>VC-013</t>
  </si>
  <si>
    <t>images/VC-013.jpg</t>
  </si>
  <si>
    <t>VC-014</t>
  </si>
  <si>
    <t>images/VC-014.jpg</t>
  </si>
  <si>
    <t>VC-015</t>
  </si>
  <si>
    <t>images/VC-015.jpg</t>
  </si>
  <si>
    <t>VC-016</t>
  </si>
  <si>
    <t>images/VC-016.jpg</t>
  </si>
  <si>
    <t>VC-017</t>
  </si>
  <si>
    <t>images/VC-017.jpg</t>
  </si>
  <si>
    <t>strong</t>
  </si>
  <si>
    <t>Open-top view, occupants, red roof section, and vivid green background add visual confounds; white body remains visible.</t>
  </si>
  <si>
    <t>VC-018</t>
  </si>
  <si>
    <t>images/VC-018.jpg</t>
  </si>
  <si>
    <t>VC-019</t>
  </si>
  <si>
    <t>images/VC-019.jpg</t>
  </si>
  <si>
    <t>VC-020</t>
  </si>
  <si>
    <t>images/VC-020.jpg</t>
  </si>
  <si>
    <t>VC-021</t>
  </si>
  <si>
    <t>images/VC-021.jpg</t>
  </si>
  <si>
    <t>VC-022</t>
  </si>
  <si>
    <t>images/VC-022.jpg</t>
  </si>
  <si>
    <t>VC-023</t>
  </si>
  <si>
    <t>images/VC-023.jpg</t>
  </si>
  <si>
    <t>VC-024</t>
  </si>
  <si>
    <t>images/VC-024.jpg</t>
  </si>
  <si>
    <t>VC-025</t>
  </si>
  <si>
    <t>images/VC-025.jpg</t>
  </si>
  <si>
    <t>Dark body is judgeable, but the tilted outdoor image has strong stylized foliage/background colour.</t>
  </si>
  <si>
    <t>VC-026</t>
  </si>
  <si>
    <t>images/VC-026.jpg</t>
  </si>
  <si>
    <t>Exhibition lighting and red floor introduce a noticeable colour cast around the white body.</t>
  </si>
  <si>
    <t>VC-027</t>
  </si>
  <si>
    <t>images/VC-027.jpg</t>
  </si>
  <si>
    <t>VC-028</t>
  </si>
  <si>
    <t>images/VC-028.jpg</t>
  </si>
  <si>
    <t>VC-029</t>
  </si>
  <si>
    <t>images/VC-029.jpg</t>
  </si>
  <si>
    <t>VC-030</t>
  </si>
  <si>
    <t>images/VC-030.jpg</t>
  </si>
  <si>
    <t>VC-031</t>
  </si>
  <si>
    <t>images/VC-031.jpg</t>
  </si>
  <si>
    <t>VC-032</t>
  </si>
  <si>
    <t>images/VC-032.jpg</t>
  </si>
  <si>
    <t>VC-033</t>
  </si>
  <si>
    <t>images/VC-033.jpg</t>
  </si>
  <si>
    <t>present</t>
  </si>
  <si>
    <t>Wet parking-lot scene, reflections, and multiple background vehicles complicate the black-body judgement.</t>
  </si>
  <si>
    <t>VC-034</t>
  </si>
  <si>
    <t>images/VC-034.jpg</t>
  </si>
  <si>
    <t>VC-035</t>
  </si>
  <si>
    <t>images/VC-035.jpg</t>
  </si>
  <si>
    <t>VC-036</t>
  </si>
  <si>
    <t>images/VC-036.jpg</t>
  </si>
  <si>
    <t>VC-037</t>
  </si>
  <si>
    <t>images/VC-037.jpg</t>
  </si>
  <si>
    <t>VC-038</t>
  </si>
  <si>
    <t>images/VC-038.jpg</t>
  </si>
  <si>
    <t>VC-039</t>
  </si>
  <si>
    <t>images/VC-039.jpg</t>
  </si>
  <si>
    <t>VC-040</t>
  </si>
  <si>
    <t>images/VC-040.jpg</t>
  </si>
  <si>
    <t>VC-041</t>
  </si>
  <si>
    <t>images/VC-041.jpg</t>
  </si>
  <si>
    <t>VC-042</t>
  </si>
  <si>
    <t>images/VC-042.jpg</t>
  </si>
  <si>
    <t>VC-043</t>
  </si>
  <si>
    <t>images/VC-043.jpg</t>
  </si>
  <si>
    <t>Strong direct sunlight and body-panel reflections are visible, although the white body remains judgeable.</t>
  </si>
  <si>
    <t>VC-044</t>
  </si>
  <si>
    <t>images/VC-044.jpg</t>
  </si>
  <si>
    <t>VC-045</t>
  </si>
  <si>
    <t>images/VC-045.jpg</t>
  </si>
  <si>
    <t>VC-046</t>
  </si>
  <si>
    <t>images/VC-046.jpg</t>
  </si>
  <si>
    <t>VC-047</t>
  </si>
  <si>
    <t>images/VC-047.jpg</t>
  </si>
  <si>
    <t>Exhibition lighting creates strong reflections; other display vehicles are visible behind the primary black car.</t>
  </si>
  <si>
    <t>VC-048</t>
  </si>
  <si>
    <t>images/VC-048.jpg</t>
  </si>
  <si>
    <t>VC-049</t>
  </si>
  <si>
    <t>images/VC-049.jpg</t>
  </si>
  <si>
    <t>VC-050</t>
  </si>
  <si>
    <t>images/VC-050.jpg</t>
  </si>
  <si>
    <t>Indoor exhibition lighting and a background vehicle add moderate visual interference.</t>
  </si>
  <si>
    <t>VC-051</t>
  </si>
  <si>
    <t>images/VC-051.jpg</t>
  </si>
  <si>
    <t>VC-052</t>
  </si>
  <si>
    <t>images/VC-052.jpg</t>
  </si>
  <si>
    <t>VC-053</t>
  </si>
  <si>
    <t>images/VC-053.jpg</t>
  </si>
  <si>
    <t>VC-054</t>
  </si>
  <si>
    <t>images/VC-054.jpg</t>
  </si>
  <si>
    <t>VC-055</t>
  </si>
  <si>
    <t>images/VC-055.jpg</t>
  </si>
  <si>
    <t>VC-056</t>
  </si>
  <si>
    <t>images/VC-056.jpg</t>
  </si>
  <si>
    <t>VC-057</t>
  </si>
  <si>
    <t>images/VC-057.jpg</t>
  </si>
  <si>
    <t>VC-058</t>
  </si>
  <si>
    <t>images/VC-058.jpg</t>
  </si>
  <si>
    <t>Rear-only view limits visible body area and has strong reflections, but the primary black colour remains judgeable.</t>
  </si>
  <si>
    <t>VC-059</t>
  </si>
  <si>
    <t>images/VC-059.jpg</t>
  </si>
  <si>
    <t>VC-060</t>
  </si>
  <si>
    <t>images/VC-060.jpg</t>
  </si>
  <si>
    <t>VC-061</t>
  </si>
  <si>
    <t>images/VC-061.jpg</t>
  </si>
  <si>
    <t>VC-062</t>
  </si>
  <si>
    <t>images/VC-062.jpg</t>
  </si>
  <si>
    <t>VC-063</t>
  </si>
  <si>
    <t>images/VC-063.jpg</t>
  </si>
  <si>
    <t>VC-064</t>
  </si>
  <si>
    <t>images/VC-064.jpg</t>
  </si>
  <si>
    <t>VC-065</t>
  </si>
  <si>
    <t>images/VC-065.jpg</t>
  </si>
  <si>
    <t>VC-066</t>
  </si>
  <si>
    <t>images/VC-066.jpg</t>
  </si>
  <si>
    <t>VC-067</t>
  </si>
  <si>
    <t>images/VC-067.jpg</t>
  </si>
  <si>
    <t>Showroom reflections and foreground signage reduce the clean visible body area.</t>
  </si>
  <si>
    <t>VC-068</t>
  </si>
  <si>
    <t>images/VC-068.jpg</t>
  </si>
  <si>
    <t>VC-069</t>
  </si>
  <si>
    <t>images/VC-069.jpg</t>
  </si>
  <si>
    <t>VC-070</t>
  </si>
  <si>
    <t>images/VC-070.jpg</t>
  </si>
  <si>
    <t>VC-071</t>
  </si>
  <si>
    <t>images/VC-071.jpg</t>
  </si>
  <si>
    <t>VC-072</t>
  </si>
  <si>
    <t>images/VC-072.jpg</t>
  </si>
  <si>
    <t>VC-073</t>
  </si>
  <si>
    <t>images/VC-073.jpg</t>
  </si>
  <si>
    <t>VC-074</t>
  </si>
  <si>
    <t>images/VC-074.jpg</t>
  </si>
  <si>
    <t>VC-075</t>
  </si>
  <si>
    <t>images/VC-075.jpg</t>
  </si>
  <si>
    <t>VC-076</t>
  </si>
  <si>
    <t>images/VC-076.jpg</t>
  </si>
  <si>
    <t>VC-077</t>
  </si>
  <si>
    <t>images/VC-077.jpg</t>
  </si>
  <si>
    <t>low</t>
  </si>
  <si>
    <t>unsure</t>
  </si>
  <si>
    <t>Low-resolution dark scene with strong low-key illumination; the black body is visible but reliability is uncertain.</t>
  </si>
  <si>
    <t>VC-078</t>
  </si>
  <si>
    <t>images/VC-078.jpg</t>
  </si>
  <si>
    <t>VC-079</t>
  </si>
  <si>
    <t>images/VC-079.jpg</t>
  </si>
  <si>
    <t>VC-080</t>
  </si>
  <si>
    <t>images/VC-080.jpg</t>
  </si>
  <si>
    <t>VC-081</t>
  </si>
  <si>
    <t>images/VC-081.jpg</t>
  </si>
  <si>
    <t>VC-082</t>
  </si>
  <si>
    <t>images/VC-082.jpg</t>
  </si>
  <si>
    <t>VC-083</t>
  </si>
  <si>
    <t>images/VC-083.jpg</t>
  </si>
  <si>
    <t>VC-084</t>
  </si>
  <si>
    <t>images/VC-084.jpg</t>
  </si>
  <si>
    <t>field</t>
  </si>
  <si>
    <t>allowed values</t>
  </si>
  <si>
    <t>review guidance</t>
  </si>
  <si>
    <t>complete | needs_recheck</t>
  </si>
  <si>
    <t>Use needs_recheck when the image requires a second look before freezing the sheet.</t>
  </si>
  <si>
    <t>yes | partly | no</t>
  </si>
  <si>
    <t>Can the primary vehicle body colour be judged from the image?</t>
  </si>
  <si>
    <t>clear | moderate | low</t>
  </si>
  <si>
    <t>Overall visual suitability for primary body-colour judgment.</t>
  </si>
  <si>
    <t>high | medium | low</t>
  </si>
  <si>
    <t>How visually prominent is the primary body colour?</t>
  </si>
  <si>
    <t>none_minor | moderate | strong</t>
  </si>
  <si>
    <t>Rate body-panel reflections that could distort perceived colour.</t>
  </si>
  <si>
    <t>Rate illumination, shadow, or night-time effects.</t>
  </si>
  <si>
    <t>Rate surrounding colour that could bias visual interpretation.</t>
  </si>
  <si>
    <t>none | minor | present</t>
  </si>
  <si>
    <t>Rate whether other vehicles complicate the primary-car judgment.</t>
  </si>
  <si>
    <t>none | minor | moderate | strong</t>
  </si>
  <si>
    <t>Rate occlusion of the primary vehicle body.</t>
  </si>
  <si>
    <t>include | exclude | unsure</t>
  </si>
  <si>
    <t>Exclude when a reliable body-colour judgment is not possible; explain exclusions in notes.</t>
  </si>
  <si>
    <t>free text</t>
  </si>
  <si>
    <t>Optional for clean images; recommended for exclusions, uncertainty, or unusual confounds.</t>
  </si>
  <si>
    <t>Use the same reviewer identifier recorded on the Protocol sheet.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</si>
</sst>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6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83B56"/>
        <bgColor indexed="64"/>
      </patternFill>
    </fill>
    <fill>
      <patternFill patternType="solid">
        <fgColor rgb="FF2F6690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6D8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2" fillId="2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vertical="center"/>
    </xf>
    <xf numFmtId="0" fontId="1" fillId="3" borderId="0" xfId="49" applyNumberFormat="1" applyFont="1" applyFill="1" applyBorder="1" applyAlignment="1">
      <alignment vertical="center"/>
    </xf>
    <xf numFmtId="0" fontId="3" fillId="4" borderId="0" xfId="49" applyNumberFormat="1" applyFont="1" applyFill="1" applyBorder="1" applyAlignment="1">
      <alignment vertical="center"/>
    </xf>
    <xf numFmtId="0" fontId="0" fillId="5" borderId="0" xfId="49" applyNumberFormat="1" applyFont="1" applyFill="1" applyBorder="1" applyAlignment="1">
      <alignment vertical="center"/>
    </xf>
    <xf numFmtId="176" fontId="0" fillId="5" borderId="0" xfId="49" applyNumberFormat="1" applyFont="1" applyFill="1" applyBorder="1" applyAlignment="1">
      <alignment vertical="center"/>
    </xf>
    <xf numFmtId="0" fontId="0" fillId="6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166534"/>
      </font>
      <fill>
        <patternFill patternType="solid">
          <bgColor rgb="FFE8F5E9"/>
        </patternFill>
      </fill>
    </dxf>
    <dxf>
      <font>
        <b val="1"/>
        <color rgb="FF991B1B"/>
      </font>
      <fill>
        <patternFill patternType="solid">
          <bgColor rgb="FFFDECEC"/>
        </patternFill>
      </fill>
    </dxf>
    <dxf>
      <font>
        <b val="1"/>
        <color rgb="FF92400E"/>
      </font>
      <fill>
        <patternFill patternType="solid">
          <bgColor rgb="FFFFF0C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anualAuditTable" displayName="ManualAuditTable" ref="A1:O85">
  <tableColumns count="15">
    <tableColumn id="1" name="review_id"/>
    <tableColumn id="2" name="image_file"/>
    <tableColumn id="3" name="review_status"/>
    <tableColumn id="4" name="body_color_visible"/>
    <tableColumn id="5" name="visual_clarity"/>
    <tableColumn id="6" name="body_color_salience"/>
    <tableColumn id="7" name="specular_reflection"/>
    <tableColumn id="8" name="shadow_or_night_effect"/>
    <tableColumn id="9" name="background_color_bias"/>
    <tableColumn id="10" name="multi_car_interference"/>
    <tableColumn id="11" name="occlusion"/>
    <tableColumn id="12" name="include_in_validity_analysis"/>
    <tableColumn id="13" name="audit_notes"/>
    <tableColumn id="14" name="reviewer_initials"/>
    <tableColumn id="15" name="row_comple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showGridLines="0" workbookViewId="0">
      <selection activeCell="A22" sqref="A22"/>
    </sheetView>
  </sheetViews>
  <sheetFormatPr defaultColWidth="9" defaultRowHeight="15" outlineLevelCol="5"/>
  <cols>
    <col min="1" max="1" width="22" customWidth="1"/>
    <col min="2" max="2" width="95" customWidth="1"/>
    <col min="3" max="6" width="4" customWidth="1"/>
  </cols>
  <sheetData>
    <row r="1" ht="19.2" customHeight="1" spans="1:6">
      <c r="A1" s="5" t="s">
        <v>0</v>
      </c>
      <c r="B1" s="5"/>
      <c r="C1" s="5"/>
      <c r="D1" s="5"/>
      <c r="E1" s="5"/>
      <c r="F1" s="5"/>
    </row>
    <row r="2" customHeight="1" spans="1:6">
      <c r="A2" s="6"/>
      <c r="B2" s="6"/>
      <c r="C2" s="6"/>
      <c r="D2" s="6"/>
      <c r="E2" s="6"/>
      <c r="F2" s="6"/>
    </row>
    <row r="3" customHeight="1" spans="1:6">
      <c r="A3" s="7" t="s">
        <v>1</v>
      </c>
      <c r="B3" s="7" t="s">
        <v>2</v>
      </c>
      <c r="C3" s="6"/>
      <c r="D3" s="6"/>
      <c r="E3" s="6"/>
      <c r="F3" s="6"/>
    </row>
    <row r="4" customHeight="1" spans="1:6">
      <c r="A4" s="8" t="s">
        <v>3</v>
      </c>
      <c r="B4" s="9"/>
      <c r="C4" s="6"/>
      <c r="D4" s="6"/>
      <c r="E4" s="6"/>
      <c r="F4" s="6"/>
    </row>
    <row r="5" customHeight="1" spans="1:6">
      <c r="A5" s="8" t="s">
        <v>4</v>
      </c>
      <c r="B5" s="9"/>
      <c r="C5" s="6"/>
      <c r="D5" s="6"/>
      <c r="E5" s="6"/>
      <c r="F5" s="6"/>
    </row>
    <row r="6" customHeight="1" spans="1:6">
      <c r="A6" s="8" t="s">
        <v>5</v>
      </c>
      <c r="B6" s="10">
        <v>46174</v>
      </c>
      <c r="C6" s="6"/>
      <c r="D6" s="6"/>
      <c r="E6" s="6"/>
      <c r="F6" s="6"/>
    </row>
    <row r="7" customHeight="1" spans="1:6">
      <c r="A7" s="8" t="s">
        <v>6</v>
      </c>
      <c r="B7" s="9"/>
      <c r="C7" s="6"/>
      <c r="D7" s="6"/>
      <c r="E7" s="6"/>
      <c r="F7" s="6"/>
    </row>
    <row r="8" customHeight="1" spans="1:6">
      <c r="A8" s="8" t="s">
        <v>7</v>
      </c>
      <c r="B8" s="9" t="s">
        <v>8</v>
      </c>
      <c r="C8" s="6"/>
      <c r="D8" s="6"/>
      <c r="E8" s="6"/>
      <c r="F8" s="6"/>
    </row>
    <row r="9" customHeight="1" spans="1:6">
      <c r="A9" s="8" t="s">
        <v>9</v>
      </c>
      <c r="B9" s="9"/>
      <c r="C9" s="6"/>
      <c r="D9" s="6"/>
      <c r="E9" s="6"/>
      <c r="F9" s="6"/>
    </row>
    <row r="10" customHeight="1" spans="1:6">
      <c r="A10" s="6"/>
      <c r="B10" s="6"/>
      <c r="C10" s="6"/>
      <c r="D10" s="6"/>
      <c r="E10" s="6"/>
      <c r="F10" s="6"/>
    </row>
    <row r="11" customHeight="1" spans="1:6">
      <c r="A11" s="7" t="s">
        <v>10</v>
      </c>
      <c r="B11" s="7" t="s">
        <v>11</v>
      </c>
      <c r="C11" s="7" t="s">
        <v>11</v>
      </c>
      <c r="D11" s="7" t="s">
        <v>11</v>
      </c>
      <c r="E11" s="7" t="s">
        <v>11</v>
      </c>
      <c r="F11" s="7" t="s">
        <v>11</v>
      </c>
    </row>
    <row r="12" customHeight="1" spans="1:6">
      <c r="A12" s="4" t="s">
        <v>12</v>
      </c>
      <c r="B12" s="4" t="s">
        <v>13</v>
      </c>
      <c r="C12" s="6" t="s">
        <v>11</v>
      </c>
      <c r="D12" s="6" t="s">
        <v>11</v>
      </c>
      <c r="E12" s="6" t="s">
        <v>11</v>
      </c>
      <c r="F12" s="6" t="s">
        <v>11</v>
      </c>
    </row>
    <row r="13" customHeight="1" spans="1:6">
      <c r="A13" s="4" t="s">
        <v>14</v>
      </c>
      <c r="B13" s="4" t="s">
        <v>15</v>
      </c>
      <c r="C13" s="6" t="s">
        <v>11</v>
      </c>
      <c r="D13" s="6" t="s">
        <v>11</v>
      </c>
      <c r="E13" s="6" t="s">
        <v>11</v>
      </c>
      <c r="F13" s="6" t="s">
        <v>11</v>
      </c>
    </row>
    <row r="14" customHeight="1" spans="1:6">
      <c r="A14" s="4" t="s">
        <v>16</v>
      </c>
      <c r="B14" s="4" t="s">
        <v>17</v>
      </c>
      <c r="C14" s="6" t="s">
        <v>11</v>
      </c>
      <c r="D14" s="6" t="s">
        <v>11</v>
      </c>
      <c r="E14" s="6" t="s">
        <v>11</v>
      </c>
      <c r="F14" s="6" t="s">
        <v>11</v>
      </c>
    </row>
    <row r="15" customHeight="1" spans="1:6">
      <c r="A15" s="4" t="s">
        <v>18</v>
      </c>
      <c r="B15" s="4" t="s">
        <v>19</v>
      </c>
      <c r="C15" s="6" t="s">
        <v>11</v>
      </c>
      <c r="D15" s="6" t="s">
        <v>11</v>
      </c>
      <c r="E15" s="6" t="s">
        <v>11</v>
      </c>
      <c r="F15" s="6" t="s">
        <v>11</v>
      </c>
    </row>
    <row r="16" customHeight="1" spans="1:6">
      <c r="A16" s="4" t="s">
        <v>20</v>
      </c>
      <c r="B16" s="4" t="s">
        <v>21</v>
      </c>
      <c r="C16" s="6" t="s">
        <v>11</v>
      </c>
      <c r="D16" s="6" t="s">
        <v>11</v>
      </c>
      <c r="E16" s="6" t="s">
        <v>11</v>
      </c>
      <c r="F16" s="6" t="s">
        <v>11</v>
      </c>
    </row>
    <row r="17" customHeight="1" spans="1:6">
      <c r="A17" s="6" t="s">
        <v>11</v>
      </c>
      <c r="B17" s="6" t="s">
        <v>11</v>
      </c>
      <c r="C17" s="6" t="s">
        <v>11</v>
      </c>
      <c r="D17" s="6" t="s">
        <v>11</v>
      </c>
      <c r="E17" s="6" t="s">
        <v>11</v>
      </c>
      <c r="F17" s="6" t="s">
        <v>11</v>
      </c>
    </row>
    <row r="18" customHeight="1" spans="1:6">
      <c r="A18" s="7" t="s">
        <v>22</v>
      </c>
      <c r="B18" s="7" t="s">
        <v>11</v>
      </c>
      <c r="C18" s="7" t="s">
        <v>11</v>
      </c>
      <c r="D18" s="7" t="s">
        <v>11</v>
      </c>
      <c r="E18" s="7" t="s">
        <v>11</v>
      </c>
      <c r="F18" s="7" t="s">
        <v>11</v>
      </c>
    </row>
    <row r="19" customHeight="1" spans="1:6">
      <c r="A19" s="8" t="s">
        <v>23</v>
      </c>
      <c r="B19" s="8" t="s">
        <v>24</v>
      </c>
      <c r="C19" s="6"/>
      <c r="D19" s="6"/>
      <c r="E19" s="6"/>
      <c r="F19" s="6"/>
    </row>
    <row r="20" customHeight="1" spans="1:6">
      <c r="A20" s="6" t="s">
        <v>25</v>
      </c>
      <c r="B20" s="6">
        <v>84</v>
      </c>
      <c r="C20" s="6"/>
      <c r="D20" s="6"/>
      <c r="E20" s="6"/>
      <c r="F20" s="6"/>
    </row>
    <row r="21" customHeight="1" spans="1:6">
      <c r="A21" s="6" t="s">
        <v>26</v>
      </c>
      <c r="B21" s="6">
        <f>COUNTIF(Manual_Audit!O2:O85,"Complete")</f>
        <v>84</v>
      </c>
      <c r="C21" s="6"/>
      <c r="D21" s="6"/>
      <c r="E21" s="6"/>
      <c r="F21" s="6"/>
    </row>
    <row r="22" customHeight="1" spans="1:6">
      <c r="A22" s="6" t="s">
        <v>27</v>
      </c>
      <c r="B22" s="6">
        <f>B20-B21</f>
        <v>0</v>
      </c>
      <c r="C22" s="6"/>
      <c r="D22" s="6"/>
      <c r="E22" s="6"/>
      <c r="F22" s="6"/>
    </row>
    <row r="23" customHeight="1" spans="1:6">
      <c r="A23" s="6"/>
      <c r="B23" s="6"/>
      <c r="C23" s="6"/>
      <c r="D23" s="6"/>
      <c r="E23" s="6"/>
      <c r="F23" s="6"/>
    </row>
    <row r="24" customHeight="1" spans="1:6">
      <c r="A24" s="7" t="s">
        <v>28</v>
      </c>
      <c r="B24" s="7" t="s">
        <v>11</v>
      </c>
      <c r="C24" s="7" t="s">
        <v>11</v>
      </c>
      <c r="D24" s="7" t="s">
        <v>11</v>
      </c>
      <c r="E24" s="7" t="s">
        <v>11</v>
      </c>
      <c r="F24" s="7" t="s">
        <v>11</v>
      </c>
    </row>
    <row r="25" ht="36" customHeight="1" spans="1:6">
      <c r="A25" s="11" t="s">
        <v>29</v>
      </c>
      <c r="B25" s="11" t="s">
        <v>11</v>
      </c>
      <c r="C25" s="11" t="s">
        <v>11</v>
      </c>
      <c r="D25" s="11" t="s">
        <v>11</v>
      </c>
      <c r="E25" s="11" t="s">
        <v>11</v>
      </c>
      <c r="F25" s="11" t="s">
        <v>11</v>
      </c>
    </row>
    <row r="26" ht="36" customHeight="1" spans="1:6">
      <c r="A26" s="11" t="s">
        <v>30</v>
      </c>
      <c r="B26" s="11" t="s">
        <v>11</v>
      </c>
      <c r="C26" s="11" t="s">
        <v>11</v>
      </c>
      <c r="D26" s="11" t="s">
        <v>11</v>
      </c>
      <c r="E26" s="11" t="s">
        <v>11</v>
      </c>
      <c r="F26" s="11" t="s">
        <v>11</v>
      </c>
    </row>
  </sheetData>
  <mergeCells count="6">
    <mergeCell ref="A1:F1"/>
    <mergeCell ref="A11:F11"/>
    <mergeCell ref="A18:F18"/>
    <mergeCell ref="A24:F24"/>
    <mergeCell ref="A25:F25"/>
    <mergeCell ref="A26:F26"/>
  </mergeCells>
  <dataValidations count="2">
    <dataValidation type="list" sqref="B7">
      <formula1>"independent_external,independent_internal,author_conducted"</formula1>
    </dataValidation>
    <dataValidation type="list" sqref="B8">
      <formula1>"in_progress,frozen_complete"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5"/>
  <sheetViews>
    <sheetView topLeftCell="A32" workbookViewId="0">
      <selection activeCell="M59" sqref="M59"/>
    </sheetView>
  </sheetViews>
  <sheetFormatPr defaultColWidth="9" defaultRowHeight="15"/>
  <cols>
    <col min="1" max="1" width="12" customWidth="1"/>
    <col min="2" max="2" width="22" customWidth="1"/>
    <col min="3" max="3" width="14" customWidth="1"/>
    <col min="4" max="4" width="17" customWidth="1"/>
    <col min="5" max="5" width="15" customWidth="1"/>
    <col min="6" max="7" width="19" customWidth="1"/>
    <col min="8" max="9" width="22" customWidth="1"/>
    <col min="10" max="10" width="23" customWidth="1"/>
    <col min="11" max="11" width="13" customWidth="1"/>
    <col min="12" max="12" width="26" customWidth="1"/>
    <col min="13" max="13" width="48" customWidth="1"/>
    <col min="14" max="14" width="16" customWidth="1"/>
    <col min="15" max="15" width="14" customWidth="1"/>
  </cols>
  <sheetData>
    <row r="1" ht="42" customHeight="1" spans="1:1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</row>
    <row r="2" ht="30" customHeight="1" spans="1:15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52</v>
      </c>
      <c r="I2" s="4" t="s">
        <v>52</v>
      </c>
      <c r="J2" s="4" t="s">
        <v>53</v>
      </c>
      <c r="K2" s="4" t="s">
        <v>53</v>
      </c>
      <c r="L2" s="4" t="s">
        <v>54</v>
      </c>
      <c r="M2" s="4" t="s">
        <v>11</v>
      </c>
      <c r="N2" s="4" t="s">
        <v>55</v>
      </c>
      <c r="O2" s="4" t="str">
        <f t="shared" ref="O2:O65" si="0">IF(OR(C2="",D2="",E2="",F2="",G2="",H2="",I2="",J2="",K2="",L2="",N2=""),"Incomplete",IF(C2="needs_recheck","Recheck","Complete"))</f>
        <v>Complete</v>
      </c>
    </row>
    <row r="3" ht="30" customHeight="1" spans="1:15">
      <c r="A3" s="4" t="s">
        <v>56</v>
      </c>
      <c r="B3" s="4" t="s">
        <v>57</v>
      </c>
      <c r="C3" s="4" t="s">
        <v>48</v>
      </c>
      <c r="D3" s="4" t="s">
        <v>49</v>
      </c>
      <c r="E3" s="4" t="s">
        <v>50</v>
      </c>
      <c r="F3" s="4" t="s">
        <v>58</v>
      </c>
      <c r="G3" s="4" t="s">
        <v>59</v>
      </c>
      <c r="H3" s="4" t="s">
        <v>52</v>
      </c>
      <c r="I3" s="4" t="s">
        <v>52</v>
      </c>
      <c r="J3" s="4" t="s">
        <v>53</v>
      </c>
      <c r="K3" s="4" t="s">
        <v>53</v>
      </c>
      <c r="L3" s="4" t="s">
        <v>54</v>
      </c>
      <c r="M3" s="4" t="s">
        <v>11</v>
      </c>
      <c r="N3" s="4" t="s">
        <v>55</v>
      </c>
      <c r="O3" s="4" t="str">
        <f t="shared" si="0"/>
        <v>Complete</v>
      </c>
    </row>
    <row r="4" ht="30" customHeight="1" spans="1:15">
      <c r="A4" s="4" t="s">
        <v>60</v>
      </c>
      <c r="B4" s="4" t="s">
        <v>61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59</v>
      </c>
      <c r="H4" s="4" t="s">
        <v>52</v>
      </c>
      <c r="I4" s="4" t="s">
        <v>52</v>
      </c>
      <c r="J4" s="4" t="s">
        <v>53</v>
      </c>
      <c r="K4" s="4" t="s">
        <v>53</v>
      </c>
      <c r="L4" s="4" t="s">
        <v>54</v>
      </c>
      <c r="M4" s="4" t="s">
        <v>11</v>
      </c>
      <c r="N4" s="4" t="s">
        <v>55</v>
      </c>
      <c r="O4" s="4" t="str">
        <f t="shared" si="0"/>
        <v>Complete</v>
      </c>
    </row>
    <row r="5" ht="30" customHeight="1" spans="1:15">
      <c r="A5" s="4" t="s">
        <v>62</v>
      </c>
      <c r="B5" s="4" t="s">
        <v>63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52</v>
      </c>
      <c r="I5" s="4" t="s">
        <v>52</v>
      </c>
      <c r="J5" s="4" t="s">
        <v>53</v>
      </c>
      <c r="K5" s="4" t="s">
        <v>53</v>
      </c>
      <c r="L5" s="4" t="s">
        <v>54</v>
      </c>
      <c r="M5" s="4" t="s">
        <v>11</v>
      </c>
      <c r="N5" s="4" t="s">
        <v>55</v>
      </c>
      <c r="O5" s="4" t="str">
        <f t="shared" si="0"/>
        <v>Complete</v>
      </c>
    </row>
    <row r="6" ht="30" customHeight="1" spans="1:15">
      <c r="A6" s="4" t="s">
        <v>64</v>
      </c>
      <c r="B6" s="4" t="s">
        <v>65</v>
      </c>
      <c r="C6" s="4" t="s">
        <v>48</v>
      </c>
      <c r="D6" s="4" t="s">
        <v>49</v>
      </c>
      <c r="E6" s="4" t="s">
        <v>50</v>
      </c>
      <c r="F6" s="4" t="s">
        <v>51</v>
      </c>
      <c r="G6" s="4" t="s">
        <v>52</v>
      </c>
      <c r="H6" s="4" t="s">
        <v>52</v>
      </c>
      <c r="I6" s="4" t="s">
        <v>52</v>
      </c>
      <c r="J6" s="4" t="s">
        <v>53</v>
      </c>
      <c r="K6" s="4" t="s">
        <v>53</v>
      </c>
      <c r="L6" s="4" t="s">
        <v>54</v>
      </c>
      <c r="M6" s="4" t="s">
        <v>11</v>
      </c>
      <c r="N6" s="4" t="s">
        <v>55</v>
      </c>
      <c r="O6" s="4" t="str">
        <f t="shared" si="0"/>
        <v>Complete</v>
      </c>
    </row>
    <row r="7" ht="30" customHeight="1" spans="1:15">
      <c r="A7" s="4" t="s">
        <v>66</v>
      </c>
      <c r="B7" s="4" t="s">
        <v>67</v>
      </c>
      <c r="C7" s="4" t="s">
        <v>48</v>
      </c>
      <c r="D7" s="4" t="s">
        <v>49</v>
      </c>
      <c r="E7" s="4" t="s">
        <v>50</v>
      </c>
      <c r="F7" s="4" t="s">
        <v>58</v>
      </c>
      <c r="G7" s="4" t="s">
        <v>59</v>
      </c>
      <c r="H7" s="4" t="s">
        <v>52</v>
      </c>
      <c r="I7" s="4" t="s">
        <v>52</v>
      </c>
      <c r="J7" s="4" t="s">
        <v>53</v>
      </c>
      <c r="K7" s="4" t="s">
        <v>53</v>
      </c>
      <c r="L7" s="4" t="s">
        <v>54</v>
      </c>
      <c r="M7" s="4" t="s">
        <v>11</v>
      </c>
      <c r="N7" s="4" t="s">
        <v>55</v>
      </c>
      <c r="O7" s="4" t="str">
        <f t="shared" si="0"/>
        <v>Complete</v>
      </c>
    </row>
    <row r="8" ht="30" customHeight="1" spans="1:15">
      <c r="A8" s="4" t="s">
        <v>68</v>
      </c>
      <c r="B8" s="4" t="s">
        <v>69</v>
      </c>
      <c r="C8" s="4" t="s">
        <v>48</v>
      </c>
      <c r="D8" s="4" t="s">
        <v>49</v>
      </c>
      <c r="E8" s="4" t="s">
        <v>59</v>
      </c>
      <c r="F8" s="4" t="s">
        <v>51</v>
      </c>
      <c r="G8" s="4" t="s">
        <v>52</v>
      </c>
      <c r="H8" s="4" t="s">
        <v>52</v>
      </c>
      <c r="I8" s="4" t="s">
        <v>59</v>
      </c>
      <c r="J8" s="4" t="s">
        <v>70</v>
      </c>
      <c r="K8" s="4" t="s">
        <v>53</v>
      </c>
      <c r="L8" s="4" t="s">
        <v>54</v>
      </c>
      <c r="M8" s="4" t="s">
        <v>11</v>
      </c>
      <c r="N8" s="4" t="s">
        <v>55</v>
      </c>
      <c r="O8" s="4" t="str">
        <f t="shared" si="0"/>
        <v>Complete</v>
      </c>
    </row>
    <row r="9" ht="30" customHeight="1" spans="1:15">
      <c r="A9" s="4" t="s">
        <v>71</v>
      </c>
      <c r="B9" s="4" t="s">
        <v>72</v>
      </c>
      <c r="C9" s="4" t="s">
        <v>48</v>
      </c>
      <c r="D9" s="4" t="s">
        <v>73</v>
      </c>
      <c r="E9" s="4" t="s">
        <v>59</v>
      </c>
      <c r="F9" s="4" t="s">
        <v>51</v>
      </c>
      <c r="G9" s="4" t="s">
        <v>59</v>
      </c>
      <c r="H9" s="4" t="s">
        <v>59</v>
      </c>
      <c r="I9" s="4" t="s">
        <v>52</v>
      </c>
      <c r="J9" s="4" t="s">
        <v>53</v>
      </c>
      <c r="K9" s="4" t="s">
        <v>53</v>
      </c>
      <c r="L9" s="4" t="s">
        <v>54</v>
      </c>
      <c r="M9" s="4" t="s">
        <v>74</v>
      </c>
      <c r="N9" s="4" t="s">
        <v>55</v>
      </c>
      <c r="O9" s="4" t="str">
        <f t="shared" si="0"/>
        <v>Complete</v>
      </c>
    </row>
    <row r="10" ht="30" customHeight="1" spans="1:15">
      <c r="A10" s="4" t="s">
        <v>75</v>
      </c>
      <c r="B10" s="4" t="s">
        <v>76</v>
      </c>
      <c r="C10" s="4" t="s">
        <v>48</v>
      </c>
      <c r="D10" s="4" t="s">
        <v>49</v>
      </c>
      <c r="E10" s="4" t="s">
        <v>50</v>
      </c>
      <c r="F10" s="4" t="s">
        <v>58</v>
      </c>
      <c r="G10" s="4" t="s">
        <v>59</v>
      </c>
      <c r="H10" s="4" t="s">
        <v>52</v>
      </c>
      <c r="I10" s="4" t="s">
        <v>59</v>
      </c>
      <c r="J10" s="4" t="s">
        <v>53</v>
      </c>
      <c r="K10" s="4" t="s">
        <v>53</v>
      </c>
      <c r="L10" s="4" t="s">
        <v>54</v>
      </c>
      <c r="M10" s="4" t="s">
        <v>11</v>
      </c>
      <c r="N10" s="4" t="s">
        <v>55</v>
      </c>
      <c r="O10" s="4" t="str">
        <f t="shared" si="0"/>
        <v>Complete</v>
      </c>
    </row>
    <row r="11" ht="30" customHeight="1" spans="1:15">
      <c r="A11" s="4" t="s">
        <v>77</v>
      </c>
      <c r="B11" s="4" t="s">
        <v>78</v>
      </c>
      <c r="C11" s="4" t="s">
        <v>48</v>
      </c>
      <c r="D11" s="4" t="s">
        <v>49</v>
      </c>
      <c r="E11" s="4" t="s">
        <v>50</v>
      </c>
      <c r="F11" s="4" t="s">
        <v>58</v>
      </c>
      <c r="G11" s="4" t="s">
        <v>59</v>
      </c>
      <c r="H11" s="4" t="s">
        <v>52</v>
      </c>
      <c r="I11" s="4" t="s">
        <v>59</v>
      </c>
      <c r="J11" s="4" t="s">
        <v>53</v>
      </c>
      <c r="K11" s="4" t="s">
        <v>53</v>
      </c>
      <c r="L11" s="4" t="s">
        <v>54</v>
      </c>
      <c r="M11" s="4" t="s">
        <v>11</v>
      </c>
      <c r="N11" s="4" t="s">
        <v>55</v>
      </c>
      <c r="O11" s="4" t="str">
        <f t="shared" si="0"/>
        <v>Complete</v>
      </c>
    </row>
    <row r="12" ht="30" customHeight="1" spans="1:15">
      <c r="A12" s="4" t="s">
        <v>79</v>
      </c>
      <c r="B12" s="4" t="s">
        <v>80</v>
      </c>
      <c r="C12" s="4" t="s">
        <v>48</v>
      </c>
      <c r="D12" s="4" t="s">
        <v>49</v>
      </c>
      <c r="E12" s="4" t="s">
        <v>59</v>
      </c>
      <c r="F12" s="4" t="s">
        <v>51</v>
      </c>
      <c r="G12" s="4" t="s">
        <v>52</v>
      </c>
      <c r="H12" s="4" t="s">
        <v>52</v>
      </c>
      <c r="I12" s="4" t="s">
        <v>59</v>
      </c>
      <c r="J12" s="4" t="s">
        <v>53</v>
      </c>
      <c r="K12" s="4" t="s">
        <v>53</v>
      </c>
      <c r="L12" s="4" t="s">
        <v>54</v>
      </c>
      <c r="M12" s="4" t="s">
        <v>11</v>
      </c>
      <c r="N12" s="4" t="s">
        <v>55</v>
      </c>
      <c r="O12" s="4" t="str">
        <f t="shared" si="0"/>
        <v>Complete</v>
      </c>
    </row>
    <row r="13" ht="30" customHeight="1" spans="1:15">
      <c r="A13" s="4" t="s">
        <v>81</v>
      </c>
      <c r="B13" s="4" t="s">
        <v>82</v>
      </c>
      <c r="C13" s="4" t="s">
        <v>48</v>
      </c>
      <c r="D13" s="4" t="s">
        <v>49</v>
      </c>
      <c r="E13" s="4" t="s">
        <v>50</v>
      </c>
      <c r="F13" s="4" t="s">
        <v>51</v>
      </c>
      <c r="G13" s="4" t="s">
        <v>52</v>
      </c>
      <c r="H13" s="4" t="s">
        <v>52</v>
      </c>
      <c r="I13" s="4" t="s">
        <v>52</v>
      </c>
      <c r="J13" s="4" t="s">
        <v>53</v>
      </c>
      <c r="K13" s="4" t="s">
        <v>53</v>
      </c>
      <c r="L13" s="4" t="s">
        <v>54</v>
      </c>
      <c r="M13" s="4" t="s">
        <v>11</v>
      </c>
      <c r="N13" s="4" t="s">
        <v>55</v>
      </c>
      <c r="O13" s="4" t="str">
        <f t="shared" si="0"/>
        <v>Complete</v>
      </c>
    </row>
    <row r="14" ht="30" customHeight="1" spans="1:15">
      <c r="A14" s="4" t="s">
        <v>83</v>
      </c>
      <c r="B14" s="4" t="s">
        <v>84</v>
      </c>
      <c r="C14" s="4" t="s">
        <v>48</v>
      </c>
      <c r="D14" s="4" t="s">
        <v>49</v>
      </c>
      <c r="E14" s="4" t="s">
        <v>59</v>
      </c>
      <c r="F14" s="4" t="s">
        <v>51</v>
      </c>
      <c r="G14" s="4" t="s">
        <v>52</v>
      </c>
      <c r="H14" s="4" t="s">
        <v>52</v>
      </c>
      <c r="I14" s="4" t="s">
        <v>59</v>
      </c>
      <c r="J14" s="4" t="s">
        <v>53</v>
      </c>
      <c r="K14" s="4" t="s">
        <v>53</v>
      </c>
      <c r="L14" s="4" t="s">
        <v>54</v>
      </c>
      <c r="M14" s="4" t="s">
        <v>11</v>
      </c>
      <c r="N14" s="4" t="s">
        <v>55</v>
      </c>
      <c r="O14" s="4" t="str">
        <f t="shared" si="0"/>
        <v>Complete</v>
      </c>
    </row>
    <row r="15" ht="30" customHeight="1" spans="1:15">
      <c r="A15" s="4" t="s">
        <v>85</v>
      </c>
      <c r="B15" s="4" t="s">
        <v>86</v>
      </c>
      <c r="C15" s="4" t="s">
        <v>48</v>
      </c>
      <c r="D15" s="4" t="s">
        <v>73</v>
      </c>
      <c r="E15" s="4" t="s">
        <v>50</v>
      </c>
      <c r="F15" s="4" t="s">
        <v>51</v>
      </c>
      <c r="G15" s="4" t="s">
        <v>52</v>
      </c>
      <c r="H15" s="4" t="s">
        <v>52</v>
      </c>
      <c r="I15" s="4" t="s">
        <v>52</v>
      </c>
      <c r="J15" s="4" t="s">
        <v>53</v>
      </c>
      <c r="K15" s="4" t="s">
        <v>70</v>
      </c>
      <c r="L15" s="4" t="s">
        <v>54</v>
      </c>
      <c r="M15" s="4" t="s">
        <v>11</v>
      </c>
      <c r="N15" s="4" t="s">
        <v>55</v>
      </c>
      <c r="O15" s="4" t="str">
        <f t="shared" si="0"/>
        <v>Complete</v>
      </c>
    </row>
    <row r="16" ht="30" customHeight="1" spans="1:15">
      <c r="A16" s="4" t="s">
        <v>87</v>
      </c>
      <c r="B16" s="4" t="s">
        <v>88</v>
      </c>
      <c r="C16" s="4" t="s">
        <v>48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52</v>
      </c>
      <c r="I16" s="4" t="s">
        <v>52</v>
      </c>
      <c r="J16" s="4" t="s">
        <v>53</v>
      </c>
      <c r="K16" s="4" t="s">
        <v>53</v>
      </c>
      <c r="L16" s="4" t="s">
        <v>54</v>
      </c>
      <c r="M16" s="4" t="s">
        <v>11</v>
      </c>
      <c r="N16" s="4" t="s">
        <v>55</v>
      </c>
      <c r="O16" s="4" t="str">
        <f t="shared" si="0"/>
        <v>Complete</v>
      </c>
    </row>
    <row r="17" ht="30" customHeight="1" spans="1:15">
      <c r="A17" s="4" t="s">
        <v>89</v>
      </c>
      <c r="B17" s="4" t="s">
        <v>90</v>
      </c>
      <c r="C17" s="4" t="s">
        <v>48</v>
      </c>
      <c r="D17" s="4" t="s">
        <v>73</v>
      </c>
      <c r="E17" s="4" t="s">
        <v>59</v>
      </c>
      <c r="F17" s="4" t="s">
        <v>51</v>
      </c>
      <c r="G17" s="4" t="s">
        <v>52</v>
      </c>
      <c r="H17" s="4" t="s">
        <v>52</v>
      </c>
      <c r="I17" s="4" t="s">
        <v>59</v>
      </c>
      <c r="J17" s="4" t="s">
        <v>53</v>
      </c>
      <c r="K17" s="4" t="s">
        <v>70</v>
      </c>
      <c r="L17" s="4" t="s">
        <v>54</v>
      </c>
      <c r="M17" s="4" t="s">
        <v>11</v>
      </c>
      <c r="N17" s="4" t="s">
        <v>55</v>
      </c>
      <c r="O17" s="4" t="str">
        <f t="shared" si="0"/>
        <v>Complete</v>
      </c>
    </row>
    <row r="18" ht="30" customHeight="1" spans="1:15">
      <c r="A18" s="4" t="s">
        <v>91</v>
      </c>
      <c r="B18" s="4" t="s">
        <v>92</v>
      </c>
      <c r="C18" s="4" t="s">
        <v>48</v>
      </c>
      <c r="D18" s="4" t="s">
        <v>73</v>
      </c>
      <c r="E18" s="4" t="s">
        <v>59</v>
      </c>
      <c r="F18" s="4" t="s">
        <v>51</v>
      </c>
      <c r="G18" s="4" t="s">
        <v>52</v>
      </c>
      <c r="H18" s="4" t="s">
        <v>52</v>
      </c>
      <c r="I18" s="4" t="s">
        <v>93</v>
      </c>
      <c r="J18" s="4" t="s">
        <v>53</v>
      </c>
      <c r="K18" s="4" t="s">
        <v>59</v>
      </c>
      <c r="L18" s="4" t="s">
        <v>54</v>
      </c>
      <c r="M18" s="4" t="s">
        <v>94</v>
      </c>
      <c r="N18" s="4" t="s">
        <v>55</v>
      </c>
      <c r="O18" s="4" t="str">
        <f t="shared" si="0"/>
        <v>Complete</v>
      </c>
    </row>
    <row r="19" ht="30" customHeight="1" spans="1:15">
      <c r="A19" s="4" t="s">
        <v>95</v>
      </c>
      <c r="B19" s="4" t="s">
        <v>96</v>
      </c>
      <c r="C19" s="4" t="s">
        <v>48</v>
      </c>
      <c r="D19" s="4" t="s">
        <v>49</v>
      </c>
      <c r="E19" s="4" t="s">
        <v>50</v>
      </c>
      <c r="F19" s="4" t="s">
        <v>51</v>
      </c>
      <c r="G19" s="4" t="s">
        <v>52</v>
      </c>
      <c r="H19" s="4" t="s">
        <v>52</v>
      </c>
      <c r="I19" s="4" t="s">
        <v>52</v>
      </c>
      <c r="J19" s="4" t="s">
        <v>53</v>
      </c>
      <c r="K19" s="4" t="s">
        <v>53</v>
      </c>
      <c r="L19" s="4" t="s">
        <v>54</v>
      </c>
      <c r="M19" s="4" t="s">
        <v>11</v>
      </c>
      <c r="N19" s="4" t="s">
        <v>55</v>
      </c>
      <c r="O19" s="4" t="str">
        <f t="shared" si="0"/>
        <v>Complete</v>
      </c>
    </row>
    <row r="20" ht="30" customHeight="1" spans="1:15">
      <c r="A20" s="4" t="s">
        <v>97</v>
      </c>
      <c r="B20" s="4" t="s">
        <v>98</v>
      </c>
      <c r="C20" s="4" t="s">
        <v>48</v>
      </c>
      <c r="D20" s="4" t="s">
        <v>49</v>
      </c>
      <c r="E20" s="4" t="s">
        <v>59</v>
      </c>
      <c r="F20" s="4" t="s">
        <v>51</v>
      </c>
      <c r="G20" s="4" t="s">
        <v>52</v>
      </c>
      <c r="H20" s="4" t="s">
        <v>52</v>
      </c>
      <c r="I20" s="4" t="s">
        <v>59</v>
      </c>
      <c r="J20" s="4" t="s">
        <v>53</v>
      </c>
      <c r="K20" s="4" t="s">
        <v>53</v>
      </c>
      <c r="L20" s="4" t="s">
        <v>54</v>
      </c>
      <c r="M20" s="4" t="s">
        <v>11</v>
      </c>
      <c r="N20" s="4" t="s">
        <v>55</v>
      </c>
      <c r="O20" s="4" t="str">
        <f t="shared" si="0"/>
        <v>Complete</v>
      </c>
    </row>
    <row r="21" ht="30" customHeight="1" spans="1:15">
      <c r="A21" s="4" t="s">
        <v>99</v>
      </c>
      <c r="B21" s="4" t="s">
        <v>100</v>
      </c>
      <c r="C21" s="4" t="s">
        <v>48</v>
      </c>
      <c r="D21" s="4" t="s">
        <v>49</v>
      </c>
      <c r="E21" s="4" t="s">
        <v>50</v>
      </c>
      <c r="F21" s="4" t="s">
        <v>51</v>
      </c>
      <c r="G21" s="4" t="s">
        <v>52</v>
      </c>
      <c r="H21" s="4" t="s">
        <v>52</v>
      </c>
      <c r="I21" s="4" t="s">
        <v>52</v>
      </c>
      <c r="J21" s="4" t="s">
        <v>53</v>
      </c>
      <c r="K21" s="4" t="s">
        <v>53</v>
      </c>
      <c r="L21" s="4" t="s">
        <v>54</v>
      </c>
      <c r="M21" s="4" t="s">
        <v>11</v>
      </c>
      <c r="N21" s="4" t="s">
        <v>55</v>
      </c>
      <c r="O21" s="4" t="str">
        <f t="shared" si="0"/>
        <v>Complete</v>
      </c>
    </row>
    <row r="22" ht="30" customHeight="1" spans="1:15">
      <c r="A22" s="4" t="s">
        <v>101</v>
      </c>
      <c r="B22" s="4" t="s">
        <v>102</v>
      </c>
      <c r="C22" s="4" t="s">
        <v>48</v>
      </c>
      <c r="D22" s="4" t="s">
        <v>49</v>
      </c>
      <c r="E22" s="4" t="s">
        <v>50</v>
      </c>
      <c r="F22" s="4" t="s">
        <v>51</v>
      </c>
      <c r="G22" s="4" t="s">
        <v>59</v>
      </c>
      <c r="H22" s="4" t="s">
        <v>52</v>
      </c>
      <c r="I22" s="4" t="s">
        <v>52</v>
      </c>
      <c r="J22" s="4" t="s">
        <v>53</v>
      </c>
      <c r="K22" s="4" t="s">
        <v>53</v>
      </c>
      <c r="L22" s="4" t="s">
        <v>54</v>
      </c>
      <c r="M22" s="4" t="s">
        <v>11</v>
      </c>
      <c r="N22" s="4" t="s">
        <v>55</v>
      </c>
      <c r="O22" s="4" t="str">
        <f t="shared" si="0"/>
        <v>Complete</v>
      </c>
    </row>
    <row r="23" ht="30" customHeight="1" spans="1:15">
      <c r="A23" s="4" t="s">
        <v>103</v>
      </c>
      <c r="B23" s="4" t="s">
        <v>104</v>
      </c>
      <c r="C23" s="4" t="s">
        <v>48</v>
      </c>
      <c r="D23" s="4" t="s">
        <v>49</v>
      </c>
      <c r="E23" s="4" t="s">
        <v>50</v>
      </c>
      <c r="F23" s="4" t="s">
        <v>58</v>
      </c>
      <c r="G23" s="4" t="s">
        <v>59</v>
      </c>
      <c r="H23" s="4" t="s">
        <v>52</v>
      </c>
      <c r="I23" s="4" t="s">
        <v>52</v>
      </c>
      <c r="J23" s="4" t="s">
        <v>53</v>
      </c>
      <c r="K23" s="4" t="s">
        <v>53</v>
      </c>
      <c r="L23" s="4" t="s">
        <v>54</v>
      </c>
      <c r="M23" s="4" t="s">
        <v>11</v>
      </c>
      <c r="N23" s="4" t="s">
        <v>55</v>
      </c>
      <c r="O23" s="4" t="str">
        <f t="shared" si="0"/>
        <v>Complete</v>
      </c>
    </row>
    <row r="24" ht="30" customHeight="1" spans="1:15">
      <c r="A24" s="4" t="s">
        <v>105</v>
      </c>
      <c r="B24" s="4" t="s">
        <v>106</v>
      </c>
      <c r="C24" s="4" t="s">
        <v>48</v>
      </c>
      <c r="D24" s="4" t="s">
        <v>49</v>
      </c>
      <c r="E24" s="4" t="s">
        <v>59</v>
      </c>
      <c r="F24" s="4" t="s">
        <v>51</v>
      </c>
      <c r="G24" s="4" t="s">
        <v>52</v>
      </c>
      <c r="H24" s="4" t="s">
        <v>52</v>
      </c>
      <c r="I24" s="4" t="s">
        <v>59</v>
      </c>
      <c r="J24" s="4" t="s">
        <v>53</v>
      </c>
      <c r="K24" s="4" t="s">
        <v>53</v>
      </c>
      <c r="L24" s="4" t="s">
        <v>54</v>
      </c>
      <c r="M24" s="4" t="s">
        <v>11</v>
      </c>
      <c r="N24" s="4" t="s">
        <v>55</v>
      </c>
      <c r="O24" s="4" t="str">
        <f t="shared" si="0"/>
        <v>Complete</v>
      </c>
    </row>
    <row r="25" ht="30" customHeight="1" spans="1:15">
      <c r="A25" s="4" t="s">
        <v>107</v>
      </c>
      <c r="B25" s="4" t="s">
        <v>108</v>
      </c>
      <c r="C25" s="4" t="s">
        <v>48</v>
      </c>
      <c r="D25" s="4" t="s">
        <v>49</v>
      </c>
      <c r="E25" s="4" t="s">
        <v>50</v>
      </c>
      <c r="F25" s="4" t="s">
        <v>51</v>
      </c>
      <c r="G25" s="4" t="s">
        <v>52</v>
      </c>
      <c r="H25" s="4" t="s">
        <v>52</v>
      </c>
      <c r="I25" s="4" t="s">
        <v>52</v>
      </c>
      <c r="J25" s="4" t="s">
        <v>53</v>
      </c>
      <c r="K25" s="4" t="s">
        <v>53</v>
      </c>
      <c r="L25" s="4" t="s">
        <v>54</v>
      </c>
      <c r="M25" s="4" t="s">
        <v>11</v>
      </c>
      <c r="N25" s="4" t="s">
        <v>55</v>
      </c>
      <c r="O25" s="4" t="str">
        <f t="shared" si="0"/>
        <v>Complete</v>
      </c>
    </row>
    <row r="26" ht="30" customHeight="1" spans="1:15">
      <c r="A26" s="4" t="s">
        <v>109</v>
      </c>
      <c r="B26" s="4" t="s">
        <v>110</v>
      </c>
      <c r="C26" s="4" t="s">
        <v>48</v>
      </c>
      <c r="D26" s="4" t="s">
        <v>49</v>
      </c>
      <c r="E26" s="4" t="s">
        <v>59</v>
      </c>
      <c r="F26" s="4" t="s">
        <v>58</v>
      </c>
      <c r="G26" s="4" t="s">
        <v>52</v>
      </c>
      <c r="H26" s="4" t="s">
        <v>59</v>
      </c>
      <c r="I26" s="4" t="s">
        <v>93</v>
      </c>
      <c r="J26" s="4" t="s">
        <v>53</v>
      </c>
      <c r="K26" s="4" t="s">
        <v>53</v>
      </c>
      <c r="L26" s="4" t="s">
        <v>54</v>
      </c>
      <c r="M26" s="4" t="s">
        <v>111</v>
      </c>
      <c r="N26" s="4" t="s">
        <v>55</v>
      </c>
      <c r="O26" s="4" t="str">
        <f t="shared" si="0"/>
        <v>Complete</v>
      </c>
    </row>
    <row r="27" ht="30" customHeight="1" spans="1:15">
      <c r="A27" s="4" t="s">
        <v>112</v>
      </c>
      <c r="B27" s="4" t="s">
        <v>113</v>
      </c>
      <c r="C27" s="4" t="s">
        <v>48</v>
      </c>
      <c r="D27" s="4" t="s">
        <v>49</v>
      </c>
      <c r="E27" s="4" t="s">
        <v>59</v>
      </c>
      <c r="F27" s="4" t="s">
        <v>51</v>
      </c>
      <c r="G27" s="4" t="s">
        <v>59</v>
      </c>
      <c r="H27" s="4" t="s">
        <v>52</v>
      </c>
      <c r="I27" s="4" t="s">
        <v>93</v>
      </c>
      <c r="J27" s="4" t="s">
        <v>53</v>
      </c>
      <c r="K27" s="4" t="s">
        <v>70</v>
      </c>
      <c r="L27" s="4" t="s">
        <v>54</v>
      </c>
      <c r="M27" s="4" t="s">
        <v>114</v>
      </c>
      <c r="N27" s="4" t="s">
        <v>55</v>
      </c>
      <c r="O27" s="4" t="str">
        <f t="shared" si="0"/>
        <v>Complete</v>
      </c>
    </row>
    <row r="28" ht="30" customHeight="1" spans="1:15">
      <c r="A28" s="4" t="s">
        <v>115</v>
      </c>
      <c r="B28" s="4" t="s">
        <v>116</v>
      </c>
      <c r="C28" s="4" t="s">
        <v>48</v>
      </c>
      <c r="D28" s="4" t="s">
        <v>49</v>
      </c>
      <c r="E28" s="4" t="s">
        <v>50</v>
      </c>
      <c r="F28" s="4" t="s">
        <v>58</v>
      </c>
      <c r="G28" s="4" t="s">
        <v>59</v>
      </c>
      <c r="H28" s="4" t="s">
        <v>52</v>
      </c>
      <c r="I28" s="4" t="s">
        <v>52</v>
      </c>
      <c r="J28" s="4" t="s">
        <v>53</v>
      </c>
      <c r="K28" s="4" t="s">
        <v>53</v>
      </c>
      <c r="L28" s="4" t="s">
        <v>54</v>
      </c>
      <c r="M28" s="4" t="s">
        <v>11</v>
      </c>
      <c r="N28" s="4" t="s">
        <v>55</v>
      </c>
      <c r="O28" s="4" t="str">
        <f t="shared" si="0"/>
        <v>Complete</v>
      </c>
    </row>
    <row r="29" ht="30" customHeight="1" spans="1:15">
      <c r="A29" s="4" t="s">
        <v>117</v>
      </c>
      <c r="B29" s="4" t="s">
        <v>118</v>
      </c>
      <c r="C29" s="4" t="s">
        <v>48</v>
      </c>
      <c r="D29" s="4" t="s">
        <v>49</v>
      </c>
      <c r="E29" s="4" t="s">
        <v>59</v>
      </c>
      <c r="F29" s="4" t="s">
        <v>51</v>
      </c>
      <c r="G29" s="4" t="s">
        <v>52</v>
      </c>
      <c r="H29" s="4" t="s">
        <v>52</v>
      </c>
      <c r="I29" s="4" t="s">
        <v>59</v>
      </c>
      <c r="J29" s="4" t="s">
        <v>70</v>
      </c>
      <c r="K29" s="4" t="s">
        <v>53</v>
      </c>
      <c r="L29" s="4" t="s">
        <v>54</v>
      </c>
      <c r="M29" s="4" t="s">
        <v>11</v>
      </c>
      <c r="N29" s="4" t="s">
        <v>55</v>
      </c>
      <c r="O29" s="4" t="str">
        <f t="shared" si="0"/>
        <v>Complete</v>
      </c>
    </row>
    <row r="30" ht="30" customHeight="1" spans="1:15">
      <c r="A30" s="4" t="s">
        <v>119</v>
      </c>
      <c r="B30" s="4" t="s">
        <v>120</v>
      </c>
      <c r="C30" s="4" t="s">
        <v>48</v>
      </c>
      <c r="D30" s="4" t="s">
        <v>49</v>
      </c>
      <c r="E30" s="4" t="s">
        <v>50</v>
      </c>
      <c r="F30" s="4" t="s">
        <v>51</v>
      </c>
      <c r="G30" s="4" t="s">
        <v>52</v>
      </c>
      <c r="H30" s="4" t="s">
        <v>52</v>
      </c>
      <c r="I30" s="4" t="s">
        <v>52</v>
      </c>
      <c r="J30" s="4" t="s">
        <v>53</v>
      </c>
      <c r="K30" s="4" t="s">
        <v>53</v>
      </c>
      <c r="L30" s="4" t="s">
        <v>54</v>
      </c>
      <c r="M30" s="4" t="s">
        <v>11</v>
      </c>
      <c r="N30" s="4" t="s">
        <v>55</v>
      </c>
      <c r="O30" s="4" t="str">
        <f t="shared" si="0"/>
        <v>Complete</v>
      </c>
    </row>
    <row r="31" ht="30" customHeight="1" spans="1:15">
      <c r="A31" s="4" t="s">
        <v>121</v>
      </c>
      <c r="B31" s="4" t="s">
        <v>122</v>
      </c>
      <c r="C31" s="4" t="s">
        <v>48</v>
      </c>
      <c r="D31" s="4" t="s">
        <v>49</v>
      </c>
      <c r="E31" s="4" t="s">
        <v>50</v>
      </c>
      <c r="F31" s="4" t="s">
        <v>58</v>
      </c>
      <c r="G31" s="4" t="s">
        <v>59</v>
      </c>
      <c r="H31" s="4" t="s">
        <v>52</v>
      </c>
      <c r="I31" s="4" t="s">
        <v>59</v>
      </c>
      <c r="J31" s="4" t="s">
        <v>70</v>
      </c>
      <c r="K31" s="4" t="s">
        <v>53</v>
      </c>
      <c r="L31" s="4" t="s">
        <v>54</v>
      </c>
      <c r="M31" s="4" t="s">
        <v>11</v>
      </c>
      <c r="N31" s="4" t="s">
        <v>55</v>
      </c>
      <c r="O31" s="4" t="str">
        <f t="shared" si="0"/>
        <v>Complete</v>
      </c>
    </row>
    <row r="32" ht="30" customHeight="1" spans="1:15">
      <c r="A32" s="4" t="s">
        <v>123</v>
      </c>
      <c r="B32" s="4" t="s">
        <v>124</v>
      </c>
      <c r="C32" s="4" t="s">
        <v>48</v>
      </c>
      <c r="D32" s="4" t="s">
        <v>49</v>
      </c>
      <c r="E32" s="4" t="s">
        <v>50</v>
      </c>
      <c r="F32" s="4" t="s">
        <v>51</v>
      </c>
      <c r="G32" s="4" t="s">
        <v>52</v>
      </c>
      <c r="H32" s="4" t="s">
        <v>52</v>
      </c>
      <c r="I32" s="4" t="s">
        <v>52</v>
      </c>
      <c r="J32" s="4" t="s">
        <v>53</v>
      </c>
      <c r="K32" s="4" t="s">
        <v>53</v>
      </c>
      <c r="L32" s="4" t="s">
        <v>54</v>
      </c>
      <c r="M32" s="4" t="s">
        <v>11</v>
      </c>
      <c r="N32" s="4" t="s">
        <v>55</v>
      </c>
      <c r="O32" s="4" t="str">
        <f t="shared" si="0"/>
        <v>Complete</v>
      </c>
    </row>
    <row r="33" ht="30" customHeight="1" spans="1:15">
      <c r="A33" s="4" t="s">
        <v>125</v>
      </c>
      <c r="B33" s="4" t="s">
        <v>126</v>
      </c>
      <c r="C33" s="4" t="s">
        <v>48</v>
      </c>
      <c r="D33" s="4" t="s">
        <v>49</v>
      </c>
      <c r="E33" s="4" t="s">
        <v>50</v>
      </c>
      <c r="F33" s="4" t="s">
        <v>58</v>
      </c>
      <c r="G33" s="4" t="s">
        <v>59</v>
      </c>
      <c r="H33" s="4" t="s">
        <v>52</v>
      </c>
      <c r="I33" s="4" t="s">
        <v>52</v>
      </c>
      <c r="J33" s="4" t="s">
        <v>53</v>
      </c>
      <c r="K33" s="4" t="s">
        <v>53</v>
      </c>
      <c r="L33" s="4" t="s">
        <v>54</v>
      </c>
      <c r="M33" s="4" t="s">
        <v>11</v>
      </c>
      <c r="N33" s="4" t="s">
        <v>55</v>
      </c>
      <c r="O33" s="4" t="str">
        <f t="shared" si="0"/>
        <v>Complete</v>
      </c>
    </row>
    <row r="34" ht="30" customHeight="1" spans="1:15">
      <c r="A34" s="4" t="s">
        <v>127</v>
      </c>
      <c r="B34" s="4" t="s">
        <v>128</v>
      </c>
      <c r="C34" s="4" t="s">
        <v>48</v>
      </c>
      <c r="D34" s="4" t="s">
        <v>49</v>
      </c>
      <c r="E34" s="4" t="s">
        <v>59</v>
      </c>
      <c r="F34" s="4" t="s">
        <v>58</v>
      </c>
      <c r="G34" s="4" t="s">
        <v>93</v>
      </c>
      <c r="H34" s="4" t="s">
        <v>52</v>
      </c>
      <c r="I34" s="4" t="s">
        <v>59</v>
      </c>
      <c r="J34" s="4" t="s">
        <v>129</v>
      </c>
      <c r="K34" s="4" t="s">
        <v>53</v>
      </c>
      <c r="L34" s="4" t="s">
        <v>54</v>
      </c>
      <c r="M34" s="4" t="s">
        <v>130</v>
      </c>
      <c r="N34" s="4" t="s">
        <v>55</v>
      </c>
      <c r="O34" s="4" t="str">
        <f t="shared" si="0"/>
        <v>Complete</v>
      </c>
    </row>
    <row r="35" ht="30" customHeight="1" spans="1:15">
      <c r="A35" s="4" t="s">
        <v>131</v>
      </c>
      <c r="B35" s="4" t="s">
        <v>132</v>
      </c>
      <c r="C35" s="4" t="s">
        <v>48</v>
      </c>
      <c r="D35" s="4" t="s">
        <v>49</v>
      </c>
      <c r="E35" s="4" t="s">
        <v>50</v>
      </c>
      <c r="F35" s="4" t="s">
        <v>51</v>
      </c>
      <c r="G35" s="4" t="s">
        <v>52</v>
      </c>
      <c r="H35" s="4" t="s">
        <v>52</v>
      </c>
      <c r="I35" s="4" t="s">
        <v>52</v>
      </c>
      <c r="J35" s="4" t="s">
        <v>53</v>
      </c>
      <c r="K35" s="4" t="s">
        <v>53</v>
      </c>
      <c r="L35" s="4" t="s">
        <v>54</v>
      </c>
      <c r="M35" s="4" t="s">
        <v>11</v>
      </c>
      <c r="N35" s="4" t="s">
        <v>55</v>
      </c>
      <c r="O35" s="4" t="str">
        <f t="shared" si="0"/>
        <v>Complete</v>
      </c>
    </row>
    <row r="36" ht="30" customHeight="1" spans="1:15">
      <c r="A36" s="4" t="s">
        <v>133</v>
      </c>
      <c r="B36" s="4" t="s">
        <v>134</v>
      </c>
      <c r="C36" s="4" t="s">
        <v>48</v>
      </c>
      <c r="D36" s="4" t="s">
        <v>49</v>
      </c>
      <c r="E36" s="4" t="s">
        <v>50</v>
      </c>
      <c r="F36" s="4" t="s">
        <v>51</v>
      </c>
      <c r="G36" s="4" t="s">
        <v>52</v>
      </c>
      <c r="H36" s="4" t="s">
        <v>52</v>
      </c>
      <c r="I36" s="4" t="s">
        <v>52</v>
      </c>
      <c r="J36" s="4" t="s">
        <v>53</v>
      </c>
      <c r="K36" s="4" t="s">
        <v>53</v>
      </c>
      <c r="L36" s="4" t="s">
        <v>54</v>
      </c>
      <c r="M36" s="4" t="s">
        <v>11</v>
      </c>
      <c r="N36" s="4" t="s">
        <v>55</v>
      </c>
      <c r="O36" s="4" t="str">
        <f t="shared" si="0"/>
        <v>Complete</v>
      </c>
    </row>
    <row r="37" ht="30" customHeight="1" spans="1:15">
      <c r="A37" s="4" t="s">
        <v>135</v>
      </c>
      <c r="B37" s="4" t="s">
        <v>136</v>
      </c>
      <c r="C37" s="4" t="s">
        <v>48</v>
      </c>
      <c r="D37" s="4" t="s">
        <v>49</v>
      </c>
      <c r="E37" s="4" t="s">
        <v>59</v>
      </c>
      <c r="F37" s="4" t="s">
        <v>51</v>
      </c>
      <c r="G37" s="4" t="s">
        <v>52</v>
      </c>
      <c r="H37" s="4" t="s">
        <v>52</v>
      </c>
      <c r="I37" s="4" t="s">
        <v>59</v>
      </c>
      <c r="J37" s="4" t="s">
        <v>70</v>
      </c>
      <c r="K37" s="4" t="s">
        <v>53</v>
      </c>
      <c r="L37" s="4" t="s">
        <v>54</v>
      </c>
      <c r="M37" s="4" t="s">
        <v>11</v>
      </c>
      <c r="N37" s="4" t="s">
        <v>55</v>
      </c>
      <c r="O37" s="4" t="str">
        <f t="shared" si="0"/>
        <v>Complete</v>
      </c>
    </row>
    <row r="38" ht="30" customHeight="1" spans="1:15">
      <c r="A38" s="4" t="s">
        <v>137</v>
      </c>
      <c r="B38" s="4" t="s">
        <v>138</v>
      </c>
      <c r="C38" s="4" t="s">
        <v>48</v>
      </c>
      <c r="D38" s="4" t="s">
        <v>49</v>
      </c>
      <c r="E38" s="4" t="s">
        <v>59</v>
      </c>
      <c r="F38" s="4" t="s">
        <v>51</v>
      </c>
      <c r="G38" s="4" t="s">
        <v>52</v>
      </c>
      <c r="H38" s="4" t="s">
        <v>59</v>
      </c>
      <c r="I38" s="4" t="s">
        <v>59</v>
      </c>
      <c r="J38" s="4" t="s">
        <v>53</v>
      </c>
      <c r="K38" s="4" t="s">
        <v>53</v>
      </c>
      <c r="L38" s="4" t="s">
        <v>54</v>
      </c>
      <c r="M38" s="4" t="s">
        <v>11</v>
      </c>
      <c r="N38" s="4" t="s">
        <v>55</v>
      </c>
      <c r="O38" s="4" t="str">
        <f t="shared" si="0"/>
        <v>Complete</v>
      </c>
    </row>
    <row r="39" ht="30" customHeight="1" spans="1:15">
      <c r="A39" s="4" t="s">
        <v>139</v>
      </c>
      <c r="B39" s="4" t="s">
        <v>140</v>
      </c>
      <c r="C39" s="4" t="s">
        <v>48</v>
      </c>
      <c r="D39" s="4" t="s">
        <v>49</v>
      </c>
      <c r="E39" s="4" t="s">
        <v>50</v>
      </c>
      <c r="F39" s="4" t="s">
        <v>51</v>
      </c>
      <c r="G39" s="4" t="s">
        <v>59</v>
      </c>
      <c r="H39" s="4" t="s">
        <v>52</v>
      </c>
      <c r="I39" s="4" t="s">
        <v>59</v>
      </c>
      <c r="J39" s="4" t="s">
        <v>53</v>
      </c>
      <c r="K39" s="4" t="s">
        <v>53</v>
      </c>
      <c r="L39" s="4" t="s">
        <v>54</v>
      </c>
      <c r="M39" s="4" t="s">
        <v>11</v>
      </c>
      <c r="N39" s="4" t="s">
        <v>55</v>
      </c>
      <c r="O39" s="4" t="str">
        <f t="shared" si="0"/>
        <v>Complete</v>
      </c>
    </row>
    <row r="40" ht="30" customHeight="1" spans="1:15">
      <c r="A40" s="4" t="s">
        <v>141</v>
      </c>
      <c r="B40" s="4" t="s">
        <v>142</v>
      </c>
      <c r="C40" s="4" t="s">
        <v>48</v>
      </c>
      <c r="D40" s="4" t="s">
        <v>49</v>
      </c>
      <c r="E40" s="4" t="s">
        <v>59</v>
      </c>
      <c r="F40" s="4" t="s">
        <v>51</v>
      </c>
      <c r="G40" s="4" t="s">
        <v>52</v>
      </c>
      <c r="H40" s="4" t="s">
        <v>59</v>
      </c>
      <c r="I40" s="4" t="s">
        <v>59</v>
      </c>
      <c r="J40" s="4" t="s">
        <v>53</v>
      </c>
      <c r="K40" s="4" t="s">
        <v>53</v>
      </c>
      <c r="L40" s="4" t="s">
        <v>54</v>
      </c>
      <c r="M40" s="4" t="s">
        <v>11</v>
      </c>
      <c r="N40" s="4" t="s">
        <v>55</v>
      </c>
      <c r="O40" s="4" t="str">
        <f t="shared" si="0"/>
        <v>Complete</v>
      </c>
    </row>
    <row r="41" ht="30" customHeight="1" spans="1:15">
      <c r="A41" s="4" t="s">
        <v>143</v>
      </c>
      <c r="B41" s="4" t="s">
        <v>144</v>
      </c>
      <c r="C41" s="4" t="s">
        <v>48</v>
      </c>
      <c r="D41" s="4" t="s">
        <v>49</v>
      </c>
      <c r="E41" s="4" t="s">
        <v>50</v>
      </c>
      <c r="F41" s="4" t="s">
        <v>51</v>
      </c>
      <c r="G41" s="4" t="s">
        <v>52</v>
      </c>
      <c r="H41" s="4" t="s">
        <v>52</v>
      </c>
      <c r="I41" s="4" t="s">
        <v>52</v>
      </c>
      <c r="J41" s="4" t="s">
        <v>53</v>
      </c>
      <c r="K41" s="4" t="s">
        <v>53</v>
      </c>
      <c r="L41" s="4" t="s">
        <v>54</v>
      </c>
      <c r="M41" s="4" t="s">
        <v>11</v>
      </c>
      <c r="N41" s="4" t="s">
        <v>55</v>
      </c>
      <c r="O41" s="4" t="str">
        <f t="shared" si="0"/>
        <v>Complete</v>
      </c>
    </row>
    <row r="42" ht="30" customHeight="1" spans="1:15">
      <c r="A42" s="4" t="s">
        <v>145</v>
      </c>
      <c r="B42" s="4" t="s">
        <v>146</v>
      </c>
      <c r="C42" s="4" t="s">
        <v>48</v>
      </c>
      <c r="D42" s="4" t="s">
        <v>49</v>
      </c>
      <c r="E42" s="4" t="s">
        <v>50</v>
      </c>
      <c r="F42" s="4" t="s">
        <v>58</v>
      </c>
      <c r="G42" s="4" t="s">
        <v>59</v>
      </c>
      <c r="H42" s="4" t="s">
        <v>52</v>
      </c>
      <c r="I42" s="4" t="s">
        <v>52</v>
      </c>
      <c r="J42" s="4" t="s">
        <v>53</v>
      </c>
      <c r="K42" s="4" t="s">
        <v>53</v>
      </c>
      <c r="L42" s="4" t="s">
        <v>54</v>
      </c>
      <c r="M42" s="4" t="s">
        <v>11</v>
      </c>
      <c r="N42" s="4" t="s">
        <v>55</v>
      </c>
      <c r="O42" s="4" t="str">
        <f t="shared" si="0"/>
        <v>Complete</v>
      </c>
    </row>
    <row r="43" ht="30" customHeight="1" spans="1:15">
      <c r="A43" s="4" t="s">
        <v>147</v>
      </c>
      <c r="B43" s="4" t="s">
        <v>148</v>
      </c>
      <c r="C43" s="4" t="s">
        <v>48</v>
      </c>
      <c r="D43" s="4" t="s">
        <v>49</v>
      </c>
      <c r="E43" s="4" t="s">
        <v>50</v>
      </c>
      <c r="F43" s="4" t="s">
        <v>51</v>
      </c>
      <c r="G43" s="4" t="s">
        <v>52</v>
      </c>
      <c r="H43" s="4" t="s">
        <v>52</v>
      </c>
      <c r="I43" s="4" t="s">
        <v>52</v>
      </c>
      <c r="J43" s="4" t="s">
        <v>53</v>
      </c>
      <c r="K43" s="4" t="s">
        <v>53</v>
      </c>
      <c r="L43" s="4" t="s">
        <v>54</v>
      </c>
      <c r="M43" s="4" t="s">
        <v>11</v>
      </c>
      <c r="N43" s="4" t="s">
        <v>55</v>
      </c>
      <c r="O43" s="4" t="str">
        <f t="shared" si="0"/>
        <v>Complete</v>
      </c>
    </row>
    <row r="44" ht="30" customHeight="1" spans="1:15">
      <c r="A44" s="4" t="s">
        <v>149</v>
      </c>
      <c r="B44" s="4" t="s">
        <v>150</v>
      </c>
      <c r="C44" s="4" t="s">
        <v>48</v>
      </c>
      <c r="D44" s="4" t="s">
        <v>49</v>
      </c>
      <c r="E44" s="4" t="s">
        <v>50</v>
      </c>
      <c r="F44" s="4" t="s">
        <v>51</v>
      </c>
      <c r="G44" s="4" t="s">
        <v>93</v>
      </c>
      <c r="H44" s="4" t="s">
        <v>52</v>
      </c>
      <c r="I44" s="4" t="s">
        <v>59</v>
      </c>
      <c r="J44" s="4" t="s">
        <v>53</v>
      </c>
      <c r="K44" s="4" t="s">
        <v>53</v>
      </c>
      <c r="L44" s="4" t="s">
        <v>54</v>
      </c>
      <c r="M44" s="4" t="s">
        <v>151</v>
      </c>
      <c r="N44" s="4" t="s">
        <v>55</v>
      </c>
      <c r="O44" s="4" t="str">
        <f t="shared" si="0"/>
        <v>Complete</v>
      </c>
    </row>
    <row r="45" ht="30" customHeight="1" spans="1:15">
      <c r="A45" s="4" t="s">
        <v>152</v>
      </c>
      <c r="B45" s="4" t="s">
        <v>153</v>
      </c>
      <c r="C45" s="4" t="s">
        <v>48</v>
      </c>
      <c r="D45" s="4" t="s">
        <v>49</v>
      </c>
      <c r="E45" s="4" t="s">
        <v>59</v>
      </c>
      <c r="F45" s="4" t="s">
        <v>51</v>
      </c>
      <c r="G45" s="4" t="s">
        <v>59</v>
      </c>
      <c r="H45" s="4" t="s">
        <v>52</v>
      </c>
      <c r="I45" s="4" t="s">
        <v>59</v>
      </c>
      <c r="J45" s="4" t="s">
        <v>53</v>
      </c>
      <c r="K45" s="4" t="s">
        <v>53</v>
      </c>
      <c r="L45" s="4" t="s">
        <v>54</v>
      </c>
      <c r="M45" s="4" t="s">
        <v>11</v>
      </c>
      <c r="N45" s="4" t="s">
        <v>55</v>
      </c>
      <c r="O45" s="4" t="str">
        <f t="shared" si="0"/>
        <v>Complete</v>
      </c>
    </row>
    <row r="46" ht="30" customHeight="1" spans="1:15">
      <c r="A46" s="4" t="s">
        <v>154</v>
      </c>
      <c r="B46" s="4" t="s">
        <v>155</v>
      </c>
      <c r="C46" s="4" t="s">
        <v>48</v>
      </c>
      <c r="D46" s="4" t="s">
        <v>49</v>
      </c>
      <c r="E46" s="4" t="s">
        <v>50</v>
      </c>
      <c r="F46" s="4" t="s">
        <v>51</v>
      </c>
      <c r="G46" s="4" t="s">
        <v>52</v>
      </c>
      <c r="H46" s="4" t="s">
        <v>59</v>
      </c>
      <c r="I46" s="4" t="s">
        <v>93</v>
      </c>
      <c r="J46" s="4" t="s">
        <v>53</v>
      </c>
      <c r="K46" s="4" t="s">
        <v>53</v>
      </c>
      <c r="L46" s="4" t="s">
        <v>54</v>
      </c>
      <c r="M46" s="4" t="s">
        <v>11</v>
      </c>
      <c r="N46" s="4" t="s">
        <v>55</v>
      </c>
      <c r="O46" s="4" t="str">
        <f t="shared" si="0"/>
        <v>Complete</v>
      </c>
    </row>
    <row r="47" ht="30" customHeight="1" spans="1:15">
      <c r="A47" s="4" t="s">
        <v>156</v>
      </c>
      <c r="B47" s="4" t="s">
        <v>157</v>
      </c>
      <c r="C47" s="4" t="s">
        <v>48</v>
      </c>
      <c r="D47" s="4" t="s">
        <v>49</v>
      </c>
      <c r="E47" s="4" t="s">
        <v>50</v>
      </c>
      <c r="F47" s="4" t="s">
        <v>51</v>
      </c>
      <c r="G47" s="4" t="s">
        <v>52</v>
      </c>
      <c r="H47" s="4" t="s">
        <v>52</v>
      </c>
      <c r="I47" s="4" t="s">
        <v>52</v>
      </c>
      <c r="J47" s="4" t="s">
        <v>53</v>
      </c>
      <c r="K47" s="4" t="s">
        <v>53</v>
      </c>
      <c r="L47" s="4" t="s">
        <v>54</v>
      </c>
      <c r="M47" s="4" t="s">
        <v>11</v>
      </c>
      <c r="N47" s="4" t="s">
        <v>55</v>
      </c>
      <c r="O47" s="4" t="str">
        <f t="shared" si="0"/>
        <v>Complete</v>
      </c>
    </row>
    <row r="48" ht="30" customHeight="1" spans="1:15">
      <c r="A48" s="4" t="s">
        <v>158</v>
      </c>
      <c r="B48" s="4" t="s">
        <v>159</v>
      </c>
      <c r="C48" s="4" t="s">
        <v>48</v>
      </c>
      <c r="D48" s="4" t="s">
        <v>49</v>
      </c>
      <c r="E48" s="4" t="s">
        <v>59</v>
      </c>
      <c r="F48" s="4" t="s">
        <v>58</v>
      </c>
      <c r="G48" s="4" t="s">
        <v>93</v>
      </c>
      <c r="H48" s="4" t="s">
        <v>52</v>
      </c>
      <c r="I48" s="4" t="s">
        <v>59</v>
      </c>
      <c r="J48" s="4" t="s">
        <v>129</v>
      </c>
      <c r="K48" s="4" t="s">
        <v>53</v>
      </c>
      <c r="L48" s="4" t="s">
        <v>54</v>
      </c>
      <c r="M48" s="4" t="s">
        <v>160</v>
      </c>
      <c r="N48" s="4" t="s">
        <v>55</v>
      </c>
      <c r="O48" s="4" t="str">
        <f t="shared" si="0"/>
        <v>Complete</v>
      </c>
    </row>
    <row r="49" ht="30" customHeight="1" spans="1:15">
      <c r="A49" s="4" t="s">
        <v>161</v>
      </c>
      <c r="B49" s="4" t="s">
        <v>162</v>
      </c>
      <c r="C49" s="4" t="s">
        <v>48</v>
      </c>
      <c r="D49" s="4" t="s">
        <v>49</v>
      </c>
      <c r="E49" s="4" t="s">
        <v>59</v>
      </c>
      <c r="F49" s="4" t="s">
        <v>51</v>
      </c>
      <c r="G49" s="4" t="s">
        <v>59</v>
      </c>
      <c r="H49" s="4" t="s">
        <v>52</v>
      </c>
      <c r="I49" s="4" t="s">
        <v>59</v>
      </c>
      <c r="J49" s="4" t="s">
        <v>53</v>
      </c>
      <c r="K49" s="4" t="s">
        <v>53</v>
      </c>
      <c r="L49" s="4" t="s">
        <v>54</v>
      </c>
      <c r="M49" s="4" t="s">
        <v>11</v>
      </c>
      <c r="N49" s="4" t="s">
        <v>55</v>
      </c>
      <c r="O49" s="4" t="str">
        <f t="shared" si="0"/>
        <v>Complete</v>
      </c>
    </row>
    <row r="50" ht="30" customHeight="1" spans="1:15">
      <c r="A50" s="4" t="s">
        <v>163</v>
      </c>
      <c r="B50" s="4" t="s">
        <v>164</v>
      </c>
      <c r="C50" s="4" t="s">
        <v>48</v>
      </c>
      <c r="D50" s="4" t="s">
        <v>49</v>
      </c>
      <c r="E50" s="4" t="s">
        <v>50</v>
      </c>
      <c r="F50" s="4" t="s">
        <v>51</v>
      </c>
      <c r="G50" s="4" t="s">
        <v>52</v>
      </c>
      <c r="H50" s="4" t="s">
        <v>52</v>
      </c>
      <c r="I50" s="4" t="s">
        <v>52</v>
      </c>
      <c r="J50" s="4" t="s">
        <v>53</v>
      </c>
      <c r="K50" s="4" t="s">
        <v>53</v>
      </c>
      <c r="L50" s="4" t="s">
        <v>54</v>
      </c>
      <c r="M50" s="4" t="s">
        <v>11</v>
      </c>
      <c r="N50" s="4" t="s">
        <v>55</v>
      </c>
      <c r="O50" s="4" t="str">
        <f t="shared" si="0"/>
        <v>Complete</v>
      </c>
    </row>
    <row r="51" ht="30" customHeight="1" spans="1:15">
      <c r="A51" s="4" t="s">
        <v>165</v>
      </c>
      <c r="B51" s="4" t="s">
        <v>166</v>
      </c>
      <c r="C51" s="4" t="s">
        <v>48</v>
      </c>
      <c r="D51" s="4" t="s">
        <v>49</v>
      </c>
      <c r="E51" s="4" t="s">
        <v>59</v>
      </c>
      <c r="F51" s="4" t="s">
        <v>51</v>
      </c>
      <c r="G51" s="4" t="s">
        <v>52</v>
      </c>
      <c r="H51" s="4" t="s">
        <v>59</v>
      </c>
      <c r="I51" s="4" t="s">
        <v>59</v>
      </c>
      <c r="J51" s="4" t="s">
        <v>70</v>
      </c>
      <c r="K51" s="4" t="s">
        <v>53</v>
      </c>
      <c r="L51" s="4" t="s">
        <v>54</v>
      </c>
      <c r="M51" s="4" t="s">
        <v>167</v>
      </c>
      <c r="N51" s="4" t="s">
        <v>55</v>
      </c>
      <c r="O51" s="4" t="str">
        <f t="shared" si="0"/>
        <v>Complete</v>
      </c>
    </row>
    <row r="52" ht="30" customHeight="1" spans="1:15">
      <c r="A52" s="4" t="s">
        <v>168</v>
      </c>
      <c r="B52" s="4" t="s">
        <v>169</v>
      </c>
      <c r="C52" s="4" t="s">
        <v>48</v>
      </c>
      <c r="D52" s="4" t="s">
        <v>49</v>
      </c>
      <c r="E52" s="4" t="s">
        <v>50</v>
      </c>
      <c r="F52" s="4" t="s">
        <v>51</v>
      </c>
      <c r="G52" s="4" t="s">
        <v>52</v>
      </c>
      <c r="H52" s="4" t="s">
        <v>52</v>
      </c>
      <c r="I52" s="4" t="s">
        <v>59</v>
      </c>
      <c r="J52" s="4" t="s">
        <v>53</v>
      </c>
      <c r="K52" s="4" t="s">
        <v>53</v>
      </c>
      <c r="L52" s="4" t="s">
        <v>54</v>
      </c>
      <c r="M52" s="4" t="s">
        <v>11</v>
      </c>
      <c r="N52" s="4" t="s">
        <v>55</v>
      </c>
      <c r="O52" s="4" t="str">
        <f t="shared" si="0"/>
        <v>Complete</v>
      </c>
    </row>
    <row r="53" ht="30" customHeight="1" spans="1:15">
      <c r="A53" s="4" t="s">
        <v>170</v>
      </c>
      <c r="B53" s="4" t="s">
        <v>171</v>
      </c>
      <c r="C53" s="4" t="s">
        <v>48</v>
      </c>
      <c r="D53" s="4" t="s">
        <v>49</v>
      </c>
      <c r="E53" s="4" t="s">
        <v>50</v>
      </c>
      <c r="F53" s="4" t="s">
        <v>58</v>
      </c>
      <c r="G53" s="4" t="s">
        <v>59</v>
      </c>
      <c r="H53" s="4" t="s">
        <v>52</v>
      </c>
      <c r="I53" s="4" t="s">
        <v>59</v>
      </c>
      <c r="J53" s="4" t="s">
        <v>70</v>
      </c>
      <c r="K53" s="4" t="s">
        <v>53</v>
      </c>
      <c r="L53" s="4" t="s">
        <v>54</v>
      </c>
      <c r="M53" s="4" t="s">
        <v>11</v>
      </c>
      <c r="N53" s="4" t="s">
        <v>55</v>
      </c>
      <c r="O53" s="4" t="str">
        <f t="shared" si="0"/>
        <v>Complete</v>
      </c>
    </row>
    <row r="54" ht="30" customHeight="1" spans="1:15">
      <c r="A54" s="4" t="s">
        <v>172</v>
      </c>
      <c r="B54" s="4" t="s">
        <v>173</v>
      </c>
      <c r="C54" s="4" t="s">
        <v>48</v>
      </c>
      <c r="D54" s="4" t="s">
        <v>49</v>
      </c>
      <c r="E54" s="4" t="s">
        <v>50</v>
      </c>
      <c r="F54" s="4" t="s">
        <v>51</v>
      </c>
      <c r="G54" s="4" t="s">
        <v>52</v>
      </c>
      <c r="H54" s="4" t="s">
        <v>52</v>
      </c>
      <c r="I54" s="4" t="s">
        <v>52</v>
      </c>
      <c r="J54" s="4" t="s">
        <v>53</v>
      </c>
      <c r="K54" s="4" t="s">
        <v>53</v>
      </c>
      <c r="L54" s="4" t="s">
        <v>54</v>
      </c>
      <c r="M54" s="4" t="s">
        <v>11</v>
      </c>
      <c r="N54" s="4" t="s">
        <v>55</v>
      </c>
      <c r="O54" s="4" t="str">
        <f t="shared" si="0"/>
        <v>Complete</v>
      </c>
    </row>
    <row r="55" ht="30" customHeight="1" spans="1:15">
      <c r="A55" s="4" t="s">
        <v>174</v>
      </c>
      <c r="B55" s="4" t="s">
        <v>175</v>
      </c>
      <c r="C55" s="4" t="s">
        <v>48</v>
      </c>
      <c r="D55" s="4" t="s">
        <v>49</v>
      </c>
      <c r="E55" s="4" t="s">
        <v>50</v>
      </c>
      <c r="F55" s="4" t="s">
        <v>51</v>
      </c>
      <c r="G55" s="4" t="s">
        <v>52</v>
      </c>
      <c r="H55" s="4" t="s">
        <v>52</v>
      </c>
      <c r="I55" s="4" t="s">
        <v>59</v>
      </c>
      <c r="J55" s="4" t="s">
        <v>53</v>
      </c>
      <c r="K55" s="4" t="s">
        <v>53</v>
      </c>
      <c r="L55" s="4" t="s">
        <v>54</v>
      </c>
      <c r="M55" s="4" t="s">
        <v>11</v>
      </c>
      <c r="N55" s="4" t="s">
        <v>55</v>
      </c>
      <c r="O55" s="4" t="str">
        <f t="shared" si="0"/>
        <v>Complete</v>
      </c>
    </row>
    <row r="56" ht="30" customHeight="1" spans="1:15">
      <c r="A56" s="4" t="s">
        <v>176</v>
      </c>
      <c r="B56" s="4" t="s">
        <v>177</v>
      </c>
      <c r="C56" s="4" t="s">
        <v>48</v>
      </c>
      <c r="D56" s="4" t="s">
        <v>73</v>
      </c>
      <c r="E56" s="4" t="s">
        <v>59</v>
      </c>
      <c r="F56" s="4" t="s">
        <v>51</v>
      </c>
      <c r="G56" s="4" t="s">
        <v>52</v>
      </c>
      <c r="H56" s="4" t="s">
        <v>52</v>
      </c>
      <c r="I56" s="4" t="s">
        <v>93</v>
      </c>
      <c r="J56" s="4" t="s">
        <v>53</v>
      </c>
      <c r="K56" s="4" t="s">
        <v>59</v>
      </c>
      <c r="L56" s="4" t="s">
        <v>54</v>
      </c>
      <c r="M56" s="4" t="s">
        <v>94</v>
      </c>
      <c r="N56" s="4" t="s">
        <v>55</v>
      </c>
      <c r="O56" s="4" t="str">
        <f t="shared" si="0"/>
        <v>Complete</v>
      </c>
    </row>
    <row r="57" ht="30" customHeight="1" spans="1:15">
      <c r="A57" s="4" t="s">
        <v>178</v>
      </c>
      <c r="B57" s="4" t="s">
        <v>179</v>
      </c>
      <c r="C57" s="4" t="s">
        <v>48</v>
      </c>
      <c r="D57" s="4" t="s">
        <v>49</v>
      </c>
      <c r="E57" s="4" t="s">
        <v>50</v>
      </c>
      <c r="F57" s="4" t="s">
        <v>58</v>
      </c>
      <c r="G57" s="4" t="s">
        <v>59</v>
      </c>
      <c r="H57" s="4" t="s">
        <v>52</v>
      </c>
      <c r="I57" s="4" t="s">
        <v>59</v>
      </c>
      <c r="J57" s="4" t="s">
        <v>53</v>
      </c>
      <c r="K57" s="4" t="s">
        <v>53</v>
      </c>
      <c r="L57" s="4" t="s">
        <v>54</v>
      </c>
      <c r="M57" s="4" t="s">
        <v>11</v>
      </c>
      <c r="N57" s="4" t="s">
        <v>55</v>
      </c>
      <c r="O57" s="4" t="str">
        <f t="shared" si="0"/>
        <v>Complete</v>
      </c>
    </row>
    <row r="58" ht="30" customHeight="1" spans="1:15">
      <c r="A58" s="4" t="s">
        <v>180</v>
      </c>
      <c r="B58" s="4" t="s">
        <v>181</v>
      </c>
      <c r="C58" s="4" t="s">
        <v>48</v>
      </c>
      <c r="D58" s="4" t="s">
        <v>49</v>
      </c>
      <c r="E58" s="4" t="s">
        <v>50</v>
      </c>
      <c r="F58" s="4" t="s">
        <v>51</v>
      </c>
      <c r="G58" s="4" t="s">
        <v>59</v>
      </c>
      <c r="H58" s="4" t="s">
        <v>52</v>
      </c>
      <c r="I58" s="4" t="s">
        <v>59</v>
      </c>
      <c r="J58" s="4" t="s">
        <v>53</v>
      </c>
      <c r="K58" s="4" t="s">
        <v>53</v>
      </c>
      <c r="L58" s="4" t="s">
        <v>54</v>
      </c>
      <c r="M58" s="4" t="s">
        <v>11</v>
      </c>
      <c r="N58" s="4" t="s">
        <v>55</v>
      </c>
      <c r="O58" s="4" t="str">
        <f t="shared" si="0"/>
        <v>Complete</v>
      </c>
    </row>
    <row r="59" ht="30" customHeight="1" spans="1:15">
      <c r="A59" s="4" t="s">
        <v>182</v>
      </c>
      <c r="B59" s="4" t="s">
        <v>183</v>
      </c>
      <c r="C59" s="4" t="s">
        <v>48</v>
      </c>
      <c r="D59" s="4" t="s">
        <v>73</v>
      </c>
      <c r="E59" s="4" t="s">
        <v>59</v>
      </c>
      <c r="F59" s="4" t="s">
        <v>58</v>
      </c>
      <c r="G59" s="4" t="s">
        <v>93</v>
      </c>
      <c r="H59" s="4" t="s">
        <v>59</v>
      </c>
      <c r="I59" s="4" t="s">
        <v>52</v>
      </c>
      <c r="J59" s="4" t="s">
        <v>53</v>
      </c>
      <c r="K59" s="4" t="s">
        <v>59</v>
      </c>
      <c r="L59" s="4" t="s">
        <v>54</v>
      </c>
      <c r="M59" s="4" t="s">
        <v>184</v>
      </c>
      <c r="N59" s="4" t="s">
        <v>55</v>
      </c>
      <c r="O59" s="4" t="str">
        <f t="shared" si="0"/>
        <v>Complete</v>
      </c>
    </row>
    <row r="60" ht="30" customHeight="1" spans="1:15">
      <c r="A60" s="4" t="s">
        <v>185</v>
      </c>
      <c r="B60" s="4" t="s">
        <v>186</v>
      </c>
      <c r="C60" s="4" t="s">
        <v>48</v>
      </c>
      <c r="D60" s="4" t="s">
        <v>49</v>
      </c>
      <c r="E60" s="4" t="s">
        <v>59</v>
      </c>
      <c r="F60" s="4" t="s">
        <v>58</v>
      </c>
      <c r="G60" s="4" t="s">
        <v>93</v>
      </c>
      <c r="H60" s="4" t="s">
        <v>52</v>
      </c>
      <c r="I60" s="4" t="s">
        <v>59</v>
      </c>
      <c r="J60" s="4" t="s">
        <v>129</v>
      </c>
      <c r="K60" s="4" t="s">
        <v>53</v>
      </c>
      <c r="L60" s="4" t="s">
        <v>54</v>
      </c>
      <c r="M60" s="4" t="s">
        <v>160</v>
      </c>
      <c r="N60" s="4" t="s">
        <v>55</v>
      </c>
      <c r="O60" s="4" t="str">
        <f t="shared" si="0"/>
        <v>Complete</v>
      </c>
    </row>
    <row r="61" ht="30" customHeight="1" spans="1:15">
      <c r="A61" s="4" t="s">
        <v>187</v>
      </c>
      <c r="B61" s="4" t="s">
        <v>188</v>
      </c>
      <c r="C61" s="4" t="s">
        <v>48</v>
      </c>
      <c r="D61" s="4" t="s">
        <v>49</v>
      </c>
      <c r="E61" s="4" t="s">
        <v>59</v>
      </c>
      <c r="F61" s="4" t="s">
        <v>58</v>
      </c>
      <c r="G61" s="4" t="s">
        <v>93</v>
      </c>
      <c r="H61" s="4" t="s">
        <v>52</v>
      </c>
      <c r="I61" s="4" t="s">
        <v>59</v>
      </c>
      <c r="J61" s="4" t="s">
        <v>129</v>
      </c>
      <c r="K61" s="4" t="s">
        <v>53</v>
      </c>
      <c r="L61" s="4" t="s">
        <v>54</v>
      </c>
      <c r="M61" s="4" t="s">
        <v>160</v>
      </c>
      <c r="N61" s="4" t="s">
        <v>55</v>
      </c>
      <c r="O61" s="4" t="str">
        <f t="shared" si="0"/>
        <v>Complete</v>
      </c>
    </row>
    <row r="62" ht="30" customHeight="1" spans="1:15">
      <c r="A62" s="4" t="s">
        <v>189</v>
      </c>
      <c r="B62" s="4" t="s">
        <v>190</v>
      </c>
      <c r="C62" s="4" t="s">
        <v>48</v>
      </c>
      <c r="D62" s="4" t="s">
        <v>49</v>
      </c>
      <c r="E62" s="4" t="s">
        <v>50</v>
      </c>
      <c r="F62" s="4" t="s">
        <v>58</v>
      </c>
      <c r="G62" s="4" t="s">
        <v>59</v>
      </c>
      <c r="H62" s="4" t="s">
        <v>52</v>
      </c>
      <c r="I62" s="4" t="s">
        <v>52</v>
      </c>
      <c r="J62" s="4" t="s">
        <v>53</v>
      </c>
      <c r="K62" s="4" t="s">
        <v>53</v>
      </c>
      <c r="L62" s="4" t="s">
        <v>54</v>
      </c>
      <c r="M62" s="4" t="s">
        <v>11</v>
      </c>
      <c r="N62" s="4" t="s">
        <v>55</v>
      </c>
      <c r="O62" s="4" t="str">
        <f t="shared" si="0"/>
        <v>Complete</v>
      </c>
    </row>
    <row r="63" ht="30" customHeight="1" spans="1:15">
      <c r="A63" s="4" t="s">
        <v>191</v>
      </c>
      <c r="B63" s="4" t="s">
        <v>192</v>
      </c>
      <c r="C63" s="4" t="s">
        <v>48</v>
      </c>
      <c r="D63" s="4" t="s">
        <v>49</v>
      </c>
      <c r="E63" s="4" t="s">
        <v>50</v>
      </c>
      <c r="F63" s="4" t="s">
        <v>58</v>
      </c>
      <c r="G63" s="4" t="s">
        <v>59</v>
      </c>
      <c r="H63" s="4" t="s">
        <v>52</v>
      </c>
      <c r="I63" s="4" t="s">
        <v>52</v>
      </c>
      <c r="J63" s="4" t="s">
        <v>53</v>
      </c>
      <c r="K63" s="4" t="s">
        <v>53</v>
      </c>
      <c r="L63" s="4" t="s">
        <v>54</v>
      </c>
      <c r="M63" s="4" t="s">
        <v>11</v>
      </c>
      <c r="N63" s="4" t="s">
        <v>55</v>
      </c>
      <c r="O63" s="4" t="str">
        <f t="shared" si="0"/>
        <v>Complete</v>
      </c>
    </row>
    <row r="64" ht="30" customHeight="1" spans="1:15">
      <c r="A64" s="4" t="s">
        <v>193</v>
      </c>
      <c r="B64" s="4" t="s">
        <v>194</v>
      </c>
      <c r="C64" s="4" t="s">
        <v>48</v>
      </c>
      <c r="D64" s="4" t="s">
        <v>49</v>
      </c>
      <c r="E64" s="4" t="s">
        <v>50</v>
      </c>
      <c r="F64" s="4" t="s">
        <v>51</v>
      </c>
      <c r="G64" s="4" t="s">
        <v>52</v>
      </c>
      <c r="H64" s="4" t="s">
        <v>52</v>
      </c>
      <c r="I64" s="4" t="s">
        <v>52</v>
      </c>
      <c r="J64" s="4" t="s">
        <v>53</v>
      </c>
      <c r="K64" s="4" t="s">
        <v>53</v>
      </c>
      <c r="L64" s="4" t="s">
        <v>54</v>
      </c>
      <c r="M64" s="4" t="s">
        <v>11</v>
      </c>
      <c r="N64" s="4" t="s">
        <v>55</v>
      </c>
      <c r="O64" s="4" t="str">
        <f t="shared" si="0"/>
        <v>Complete</v>
      </c>
    </row>
    <row r="65" ht="30" customHeight="1" spans="1:15">
      <c r="A65" s="4" t="s">
        <v>195</v>
      </c>
      <c r="B65" s="4" t="s">
        <v>196</v>
      </c>
      <c r="C65" s="4" t="s">
        <v>48</v>
      </c>
      <c r="D65" s="4" t="s">
        <v>49</v>
      </c>
      <c r="E65" s="4" t="s">
        <v>50</v>
      </c>
      <c r="F65" s="4" t="s">
        <v>51</v>
      </c>
      <c r="G65" s="4" t="s">
        <v>52</v>
      </c>
      <c r="H65" s="4" t="s">
        <v>52</v>
      </c>
      <c r="I65" s="4" t="s">
        <v>59</v>
      </c>
      <c r="J65" s="4" t="s">
        <v>53</v>
      </c>
      <c r="K65" s="4" t="s">
        <v>53</v>
      </c>
      <c r="L65" s="4" t="s">
        <v>54</v>
      </c>
      <c r="M65" s="4" t="s">
        <v>11</v>
      </c>
      <c r="N65" s="4" t="s">
        <v>55</v>
      </c>
      <c r="O65" s="4" t="str">
        <f t="shared" si="0"/>
        <v>Complete</v>
      </c>
    </row>
    <row r="66" ht="30" customHeight="1" spans="1:15">
      <c r="A66" s="4" t="s">
        <v>197</v>
      </c>
      <c r="B66" s="4" t="s">
        <v>198</v>
      </c>
      <c r="C66" s="4" t="s">
        <v>48</v>
      </c>
      <c r="D66" s="4" t="s">
        <v>49</v>
      </c>
      <c r="E66" s="4" t="s">
        <v>59</v>
      </c>
      <c r="F66" s="4" t="s">
        <v>51</v>
      </c>
      <c r="G66" s="4" t="s">
        <v>52</v>
      </c>
      <c r="H66" s="4" t="s">
        <v>59</v>
      </c>
      <c r="I66" s="4" t="s">
        <v>59</v>
      </c>
      <c r="J66" s="4" t="s">
        <v>53</v>
      </c>
      <c r="K66" s="4" t="s">
        <v>53</v>
      </c>
      <c r="L66" s="4" t="s">
        <v>54</v>
      </c>
      <c r="M66" s="4" t="s">
        <v>11</v>
      </c>
      <c r="N66" s="4" t="s">
        <v>55</v>
      </c>
      <c r="O66" s="4" t="str">
        <f t="shared" ref="O66:O85" si="1">IF(OR(C66="",D66="",E66="",F66="",G66="",H66="",I66="",J66="",K66="",L66="",N66=""),"Incomplete",IF(C66="needs_recheck","Recheck","Complete"))</f>
        <v>Complete</v>
      </c>
    </row>
    <row r="67" ht="30" customHeight="1" spans="1:15">
      <c r="A67" s="4" t="s">
        <v>199</v>
      </c>
      <c r="B67" s="4" t="s">
        <v>200</v>
      </c>
      <c r="C67" s="4" t="s">
        <v>48</v>
      </c>
      <c r="D67" s="4" t="s">
        <v>49</v>
      </c>
      <c r="E67" s="4" t="s">
        <v>59</v>
      </c>
      <c r="F67" s="4" t="s">
        <v>51</v>
      </c>
      <c r="G67" s="4" t="s">
        <v>59</v>
      </c>
      <c r="H67" s="4" t="s">
        <v>52</v>
      </c>
      <c r="I67" s="4" t="s">
        <v>93</v>
      </c>
      <c r="J67" s="4" t="s">
        <v>53</v>
      </c>
      <c r="K67" s="4" t="s">
        <v>70</v>
      </c>
      <c r="L67" s="4" t="s">
        <v>54</v>
      </c>
      <c r="M67" s="4" t="s">
        <v>114</v>
      </c>
      <c r="N67" s="4" t="s">
        <v>55</v>
      </c>
      <c r="O67" s="4" t="str">
        <f t="shared" si="1"/>
        <v>Complete</v>
      </c>
    </row>
    <row r="68" ht="30" customHeight="1" spans="1:15">
      <c r="A68" s="4" t="s">
        <v>201</v>
      </c>
      <c r="B68" s="4" t="s">
        <v>202</v>
      </c>
      <c r="C68" s="4" t="s">
        <v>48</v>
      </c>
      <c r="D68" s="4" t="s">
        <v>73</v>
      </c>
      <c r="E68" s="4" t="s">
        <v>59</v>
      </c>
      <c r="F68" s="4" t="s">
        <v>51</v>
      </c>
      <c r="G68" s="4" t="s">
        <v>93</v>
      </c>
      <c r="H68" s="4" t="s">
        <v>52</v>
      </c>
      <c r="I68" s="4" t="s">
        <v>59</v>
      </c>
      <c r="J68" s="4" t="s">
        <v>53</v>
      </c>
      <c r="K68" s="4" t="s">
        <v>70</v>
      </c>
      <c r="L68" s="4" t="s">
        <v>54</v>
      </c>
      <c r="M68" s="4" t="s">
        <v>203</v>
      </c>
      <c r="N68" s="4" t="s">
        <v>55</v>
      </c>
      <c r="O68" s="4" t="str">
        <f t="shared" si="1"/>
        <v>Complete</v>
      </c>
    </row>
    <row r="69" ht="30" customHeight="1" spans="1:15">
      <c r="A69" s="4" t="s">
        <v>204</v>
      </c>
      <c r="B69" s="4" t="s">
        <v>205</v>
      </c>
      <c r="C69" s="4" t="s">
        <v>48</v>
      </c>
      <c r="D69" s="4" t="s">
        <v>49</v>
      </c>
      <c r="E69" s="4" t="s">
        <v>50</v>
      </c>
      <c r="F69" s="4" t="s">
        <v>51</v>
      </c>
      <c r="G69" s="4" t="s">
        <v>52</v>
      </c>
      <c r="H69" s="4" t="s">
        <v>52</v>
      </c>
      <c r="I69" s="4" t="s">
        <v>52</v>
      </c>
      <c r="J69" s="4" t="s">
        <v>53</v>
      </c>
      <c r="K69" s="4" t="s">
        <v>53</v>
      </c>
      <c r="L69" s="4" t="s">
        <v>54</v>
      </c>
      <c r="M69" s="4" t="s">
        <v>11</v>
      </c>
      <c r="N69" s="4" t="s">
        <v>55</v>
      </c>
      <c r="O69" s="4" t="str">
        <f t="shared" si="1"/>
        <v>Complete</v>
      </c>
    </row>
    <row r="70" ht="30" customHeight="1" spans="1:15">
      <c r="A70" s="4" t="s">
        <v>206</v>
      </c>
      <c r="B70" s="4" t="s">
        <v>207</v>
      </c>
      <c r="C70" s="4" t="s">
        <v>48</v>
      </c>
      <c r="D70" s="4" t="s">
        <v>49</v>
      </c>
      <c r="E70" s="4" t="s">
        <v>50</v>
      </c>
      <c r="F70" s="4" t="s">
        <v>51</v>
      </c>
      <c r="G70" s="4" t="s">
        <v>59</v>
      </c>
      <c r="H70" s="4" t="s">
        <v>52</v>
      </c>
      <c r="I70" s="4" t="s">
        <v>52</v>
      </c>
      <c r="J70" s="4" t="s">
        <v>53</v>
      </c>
      <c r="K70" s="4" t="s">
        <v>53</v>
      </c>
      <c r="L70" s="4" t="s">
        <v>54</v>
      </c>
      <c r="M70" s="4" t="s">
        <v>11</v>
      </c>
      <c r="N70" s="4" t="s">
        <v>55</v>
      </c>
      <c r="O70" s="4" t="str">
        <f t="shared" si="1"/>
        <v>Complete</v>
      </c>
    </row>
    <row r="71" ht="30" customHeight="1" spans="1:15">
      <c r="A71" s="4" t="s">
        <v>208</v>
      </c>
      <c r="B71" s="4" t="s">
        <v>209</v>
      </c>
      <c r="C71" s="4" t="s">
        <v>48</v>
      </c>
      <c r="D71" s="4" t="s">
        <v>49</v>
      </c>
      <c r="E71" s="4" t="s">
        <v>50</v>
      </c>
      <c r="F71" s="4" t="s">
        <v>51</v>
      </c>
      <c r="G71" s="4" t="s">
        <v>52</v>
      </c>
      <c r="H71" s="4" t="s">
        <v>52</v>
      </c>
      <c r="I71" s="4" t="s">
        <v>52</v>
      </c>
      <c r="J71" s="4" t="s">
        <v>53</v>
      </c>
      <c r="K71" s="4" t="s">
        <v>53</v>
      </c>
      <c r="L71" s="4" t="s">
        <v>54</v>
      </c>
      <c r="M71" s="4" t="s">
        <v>11</v>
      </c>
      <c r="N71" s="4" t="s">
        <v>55</v>
      </c>
      <c r="O71" s="4" t="str">
        <f t="shared" si="1"/>
        <v>Complete</v>
      </c>
    </row>
    <row r="72" ht="30" customHeight="1" spans="1:15">
      <c r="A72" s="4" t="s">
        <v>210</v>
      </c>
      <c r="B72" s="4" t="s">
        <v>211</v>
      </c>
      <c r="C72" s="4" t="s">
        <v>48</v>
      </c>
      <c r="D72" s="4" t="s">
        <v>49</v>
      </c>
      <c r="E72" s="4" t="s">
        <v>50</v>
      </c>
      <c r="F72" s="4" t="s">
        <v>58</v>
      </c>
      <c r="G72" s="4" t="s">
        <v>59</v>
      </c>
      <c r="H72" s="4" t="s">
        <v>52</v>
      </c>
      <c r="I72" s="4" t="s">
        <v>59</v>
      </c>
      <c r="J72" s="4" t="s">
        <v>53</v>
      </c>
      <c r="K72" s="4" t="s">
        <v>53</v>
      </c>
      <c r="L72" s="4" t="s">
        <v>54</v>
      </c>
      <c r="M72" s="4" t="s">
        <v>11</v>
      </c>
      <c r="N72" s="4" t="s">
        <v>55</v>
      </c>
      <c r="O72" s="4" t="str">
        <f t="shared" si="1"/>
        <v>Complete</v>
      </c>
    </row>
    <row r="73" ht="30" customHeight="1" spans="1:15">
      <c r="A73" s="4" t="s">
        <v>212</v>
      </c>
      <c r="B73" s="4" t="s">
        <v>213</v>
      </c>
      <c r="C73" s="4" t="s">
        <v>48</v>
      </c>
      <c r="D73" s="4" t="s">
        <v>49</v>
      </c>
      <c r="E73" s="4" t="s">
        <v>50</v>
      </c>
      <c r="F73" s="4" t="s">
        <v>51</v>
      </c>
      <c r="G73" s="4" t="s">
        <v>52</v>
      </c>
      <c r="H73" s="4" t="s">
        <v>52</v>
      </c>
      <c r="I73" s="4" t="s">
        <v>52</v>
      </c>
      <c r="J73" s="4" t="s">
        <v>53</v>
      </c>
      <c r="K73" s="4" t="s">
        <v>53</v>
      </c>
      <c r="L73" s="4" t="s">
        <v>54</v>
      </c>
      <c r="M73" s="4" t="s">
        <v>11</v>
      </c>
      <c r="N73" s="4" t="s">
        <v>55</v>
      </c>
      <c r="O73" s="4" t="str">
        <f t="shared" si="1"/>
        <v>Complete</v>
      </c>
    </row>
    <row r="74" ht="30" customHeight="1" spans="1:15">
      <c r="A74" s="4" t="s">
        <v>214</v>
      </c>
      <c r="B74" s="4" t="s">
        <v>215</v>
      </c>
      <c r="C74" s="4" t="s">
        <v>48</v>
      </c>
      <c r="D74" s="4" t="s">
        <v>49</v>
      </c>
      <c r="E74" s="4" t="s">
        <v>50</v>
      </c>
      <c r="F74" s="4" t="s">
        <v>51</v>
      </c>
      <c r="G74" s="4" t="s">
        <v>52</v>
      </c>
      <c r="H74" s="4" t="s">
        <v>52</v>
      </c>
      <c r="I74" s="4" t="s">
        <v>52</v>
      </c>
      <c r="J74" s="4" t="s">
        <v>53</v>
      </c>
      <c r="K74" s="4" t="s">
        <v>53</v>
      </c>
      <c r="L74" s="4" t="s">
        <v>54</v>
      </c>
      <c r="M74" s="4" t="s">
        <v>11</v>
      </c>
      <c r="N74" s="4" t="s">
        <v>55</v>
      </c>
      <c r="O74" s="4" t="str">
        <f t="shared" si="1"/>
        <v>Complete</v>
      </c>
    </row>
    <row r="75" ht="30" customHeight="1" spans="1:15">
      <c r="A75" s="4" t="s">
        <v>216</v>
      </c>
      <c r="B75" s="4" t="s">
        <v>217</v>
      </c>
      <c r="C75" s="4" t="s">
        <v>48</v>
      </c>
      <c r="D75" s="4" t="s">
        <v>49</v>
      </c>
      <c r="E75" s="4" t="s">
        <v>50</v>
      </c>
      <c r="F75" s="4" t="s">
        <v>51</v>
      </c>
      <c r="G75" s="4" t="s">
        <v>52</v>
      </c>
      <c r="H75" s="4" t="s">
        <v>52</v>
      </c>
      <c r="I75" s="4" t="s">
        <v>52</v>
      </c>
      <c r="J75" s="4" t="s">
        <v>53</v>
      </c>
      <c r="K75" s="4" t="s">
        <v>53</v>
      </c>
      <c r="L75" s="4" t="s">
        <v>54</v>
      </c>
      <c r="M75" s="4" t="s">
        <v>11</v>
      </c>
      <c r="N75" s="4" t="s">
        <v>55</v>
      </c>
      <c r="O75" s="4" t="str">
        <f t="shared" si="1"/>
        <v>Complete</v>
      </c>
    </row>
    <row r="76" ht="30" customHeight="1" spans="1:15">
      <c r="A76" s="4" t="s">
        <v>218</v>
      </c>
      <c r="B76" s="4" t="s">
        <v>219</v>
      </c>
      <c r="C76" s="4" t="s">
        <v>48</v>
      </c>
      <c r="D76" s="4" t="s">
        <v>49</v>
      </c>
      <c r="E76" s="4" t="s">
        <v>50</v>
      </c>
      <c r="F76" s="4" t="s">
        <v>51</v>
      </c>
      <c r="G76" s="4" t="s">
        <v>52</v>
      </c>
      <c r="H76" s="4" t="s">
        <v>59</v>
      </c>
      <c r="I76" s="4" t="s">
        <v>59</v>
      </c>
      <c r="J76" s="4" t="s">
        <v>53</v>
      </c>
      <c r="K76" s="4" t="s">
        <v>53</v>
      </c>
      <c r="L76" s="4" t="s">
        <v>54</v>
      </c>
      <c r="M76" s="4" t="s">
        <v>11</v>
      </c>
      <c r="N76" s="4" t="s">
        <v>55</v>
      </c>
      <c r="O76" s="4" t="str">
        <f t="shared" si="1"/>
        <v>Complete</v>
      </c>
    </row>
    <row r="77" ht="30" customHeight="1" spans="1:15">
      <c r="A77" s="4" t="s">
        <v>220</v>
      </c>
      <c r="B77" s="4" t="s">
        <v>221</v>
      </c>
      <c r="C77" s="4" t="s">
        <v>48</v>
      </c>
      <c r="D77" s="4" t="s">
        <v>49</v>
      </c>
      <c r="E77" s="4" t="s">
        <v>50</v>
      </c>
      <c r="F77" s="4" t="s">
        <v>51</v>
      </c>
      <c r="G77" s="4" t="s">
        <v>52</v>
      </c>
      <c r="H77" s="4" t="s">
        <v>52</v>
      </c>
      <c r="I77" s="4" t="s">
        <v>52</v>
      </c>
      <c r="J77" s="4" t="s">
        <v>53</v>
      </c>
      <c r="K77" s="4" t="s">
        <v>53</v>
      </c>
      <c r="L77" s="4" t="s">
        <v>54</v>
      </c>
      <c r="M77" s="4" t="s">
        <v>11</v>
      </c>
      <c r="N77" s="4" t="s">
        <v>55</v>
      </c>
      <c r="O77" s="4" t="str">
        <f t="shared" si="1"/>
        <v>Complete</v>
      </c>
    </row>
    <row r="78" ht="30" customHeight="1" spans="1:15">
      <c r="A78" s="4" t="s">
        <v>222</v>
      </c>
      <c r="B78" s="4" t="s">
        <v>223</v>
      </c>
      <c r="C78" s="4" t="s">
        <v>48</v>
      </c>
      <c r="D78" s="4" t="s">
        <v>73</v>
      </c>
      <c r="E78" s="4" t="s">
        <v>224</v>
      </c>
      <c r="F78" s="4" t="s">
        <v>224</v>
      </c>
      <c r="G78" s="4" t="s">
        <v>93</v>
      </c>
      <c r="H78" s="4" t="s">
        <v>93</v>
      </c>
      <c r="I78" s="4" t="s">
        <v>93</v>
      </c>
      <c r="J78" s="4" t="s">
        <v>53</v>
      </c>
      <c r="K78" s="4" t="s">
        <v>53</v>
      </c>
      <c r="L78" s="4" t="s">
        <v>225</v>
      </c>
      <c r="M78" s="4" t="s">
        <v>226</v>
      </c>
      <c r="N78" s="4" t="s">
        <v>55</v>
      </c>
      <c r="O78" s="4" t="str">
        <f t="shared" si="1"/>
        <v>Complete</v>
      </c>
    </row>
    <row r="79" ht="30" customHeight="1" spans="1:15">
      <c r="A79" s="4" t="s">
        <v>227</v>
      </c>
      <c r="B79" s="4" t="s">
        <v>228</v>
      </c>
      <c r="C79" s="4" t="s">
        <v>48</v>
      </c>
      <c r="D79" s="4" t="s">
        <v>49</v>
      </c>
      <c r="E79" s="4" t="s">
        <v>50</v>
      </c>
      <c r="F79" s="4" t="s">
        <v>51</v>
      </c>
      <c r="G79" s="4" t="s">
        <v>52</v>
      </c>
      <c r="H79" s="4" t="s">
        <v>52</v>
      </c>
      <c r="I79" s="4" t="s">
        <v>59</v>
      </c>
      <c r="J79" s="4" t="s">
        <v>53</v>
      </c>
      <c r="K79" s="4" t="s">
        <v>53</v>
      </c>
      <c r="L79" s="4" t="s">
        <v>54</v>
      </c>
      <c r="M79" s="4" t="s">
        <v>11</v>
      </c>
      <c r="N79" s="4" t="s">
        <v>55</v>
      </c>
      <c r="O79" s="4" t="str">
        <f t="shared" si="1"/>
        <v>Complete</v>
      </c>
    </row>
    <row r="80" ht="30" customHeight="1" spans="1:15">
      <c r="A80" s="4" t="s">
        <v>229</v>
      </c>
      <c r="B80" s="4" t="s">
        <v>230</v>
      </c>
      <c r="C80" s="4" t="s">
        <v>48</v>
      </c>
      <c r="D80" s="4" t="s">
        <v>49</v>
      </c>
      <c r="E80" s="4" t="s">
        <v>59</v>
      </c>
      <c r="F80" s="4" t="s">
        <v>51</v>
      </c>
      <c r="G80" s="4" t="s">
        <v>52</v>
      </c>
      <c r="H80" s="4" t="s">
        <v>52</v>
      </c>
      <c r="I80" s="4" t="s">
        <v>59</v>
      </c>
      <c r="J80" s="4" t="s">
        <v>53</v>
      </c>
      <c r="K80" s="4" t="s">
        <v>53</v>
      </c>
      <c r="L80" s="4" t="s">
        <v>54</v>
      </c>
      <c r="M80" s="4" t="s">
        <v>11</v>
      </c>
      <c r="N80" s="4" t="s">
        <v>55</v>
      </c>
      <c r="O80" s="4" t="str">
        <f t="shared" si="1"/>
        <v>Complete</v>
      </c>
    </row>
    <row r="81" ht="30" customHeight="1" spans="1:15">
      <c r="A81" s="4" t="s">
        <v>231</v>
      </c>
      <c r="B81" s="4" t="s">
        <v>232</v>
      </c>
      <c r="C81" s="4" t="s">
        <v>48</v>
      </c>
      <c r="D81" s="4" t="s">
        <v>49</v>
      </c>
      <c r="E81" s="4" t="s">
        <v>59</v>
      </c>
      <c r="F81" s="4" t="s">
        <v>51</v>
      </c>
      <c r="G81" s="4" t="s">
        <v>52</v>
      </c>
      <c r="H81" s="4" t="s">
        <v>52</v>
      </c>
      <c r="I81" s="4" t="s">
        <v>59</v>
      </c>
      <c r="J81" s="4" t="s">
        <v>53</v>
      </c>
      <c r="K81" s="4" t="s">
        <v>53</v>
      </c>
      <c r="L81" s="4" t="s">
        <v>54</v>
      </c>
      <c r="M81" s="4" t="s">
        <v>11</v>
      </c>
      <c r="N81" s="4" t="s">
        <v>55</v>
      </c>
      <c r="O81" s="4" t="str">
        <f t="shared" si="1"/>
        <v>Complete</v>
      </c>
    </row>
    <row r="82" ht="30" customHeight="1" spans="1:15">
      <c r="A82" s="4" t="s">
        <v>233</v>
      </c>
      <c r="B82" s="4" t="s">
        <v>234</v>
      </c>
      <c r="C82" s="4" t="s">
        <v>48</v>
      </c>
      <c r="D82" s="4" t="s">
        <v>49</v>
      </c>
      <c r="E82" s="4" t="s">
        <v>59</v>
      </c>
      <c r="F82" s="4" t="s">
        <v>58</v>
      </c>
      <c r="G82" s="4" t="s">
        <v>52</v>
      </c>
      <c r="H82" s="4" t="s">
        <v>59</v>
      </c>
      <c r="I82" s="4" t="s">
        <v>93</v>
      </c>
      <c r="J82" s="4" t="s">
        <v>53</v>
      </c>
      <c r="K82" s="4" t="s">
        <v>53</v>
      </c>
      <c r="L82" s="4" t="s">
        <v>54</v>
      </c>
      <c r="M82" s="4" t="s">
        <v>111</v>
      </c>
      <c r="N82" s="4" t="s">
        <v>55</v>
      </c>
      <c r="O82" s="4" t="str">
        <f t="shared" si="1"/>
        <v>Complete</v>
      </c>
    </row>
    <row r="83" ht="30" customHeight="1" spans="1:15">
      <c r="A83" s="4" t="s">
        <v>235</v>
      </c>
      <c r="B83" s="4" t="s">
        <v>236</v>
      </c>
      <c r="C83" s="4" t="s">
        <v>48</v>
      </c>
      <c r="D83" s="4" t="s">
        <v>49</v>
      </c>
      <c r="E83" s="4" t="s">
        <v>59</v>
      </c>
      <c r="F83" s="4" t="s">
        <v>51</v>
      </c>
      <c r="G83" s="4" t="s">
        <v>52</v>
      </c>
      <c r="H83" s="4" t="s">
        <v>52</v>
      </c>
      <c r="I83" s="4" t="s">
        <v>59</v>
      </c>
      <c r="J83" s="4" t="s">
        <v>53</v>
      </c>
      <c r="K83" s="4" t="s">
        <v>53</v>
      </c>
      <c r="L83" s="4" t="s">
        <v>54</v>
      </c>
      <c r="M83" s="4" t="s">
        <v>11</v>
      </c>
      <c r="N83" s="4" t="s">
        <v>55</v>
      </c>
      <c r="O83" s="4" t="str">
        <f t="shared" si="1"/>
        <v>Complete</v>
      </c>
    </row>
    <row r="84" ht="30" customHeight="1" spans="1:15">
      <c r="A84" s="4" t="s">
        <v>237</v>
      </c>
      <c r="B84" s="4" t="s">
        <v>238</v>
      </c>
      <c r="C84" s="4" t="s">
        <v>48</v>
      </c>
      <c r="D84" s="4" t="s">
        <v>73</v>
      </c>
      <c r="E84" s="4" t="s">
        <v>50</v>
      </c>
      <c r="F84" s="4" t="s">
        <v>51</v>
      </c>
      <c r="G84" s="4" t="s">
        <v>52</v>
      </c>
      <c r="H84" s="4" t="s">
        <v>52</v>
      </c>
      <c r="I84" s="4" t="s">
        <v>52</v>
      </c>
      <c r="J84" s="4" t="s">
        <v>53</v>
      </c>
      <c r="K84" s="4" t="s">
        <v>70</v>
      </c>
      <c r="L84" s="4" t="s">
        <v>54</v>
      </c>
      <c r="M84" s="4" t="s">
        <v>11</v>
      </c>
      <c r="N84" s="4" t="s">
        <v>55</v>
      </c>
      <c r="O84" s="4" t="str">
        <f t="shared" si="1"/>
        <v>Complete</v>
      </c>
    </row>
    <row r="85" ht="30" customHeight="1" spans="1:15">
      <c r="A85" s="4" t="s">
        <v>239</v>
      </c>
      <c r="B85" s="4" t="s">
        <v>240</v>
      </c>
      <c r="C85" s="4" t="s">
        <v>48</v>
      </c>
      <c r="D85" s="4" t="s">
        <v>49</v>
      </c>
      <c r="E85" s="4" t="s">
        <v>50</v>
      </c>
      <c r="F85" s="4" t="s">
        <v>51</v>
      </c>
      <c r="G85" s="4" t="s">
        <v>52</v>
      </c>
      <c r="H85" s="4" t="s">
        <v>59</v>
      </c>
      <c r="I85" s="4" t="s">
        <v>59</v>
      </c>
      <c r="J85" s="4" t="s">
        <v>53</v>
      </c>
      <c r="K85" s="4" t="s">
        <v>53</v>
      </c>
      <c r="L85" s="4" t="s">
        <v>54</v>
      </c>
      <c r="M85" s="4" t="s">
        <v>11</v>
      </c>
      <c r="N85" s="4" t="s">
        <v>55</v>
      </c>
      <c r="O85" s="4" t="str">
        <f t="shared" si="1"/>
        <v>Complete</v>
      </c>
    </row>
  </sheetData>
  <conditionalFormatting sqref="O2:O85">
    <cfRule type="containsText" dxfId="0" priority="1" operator="between" text="Complete">
      <formula>NOT(ISERROR(SEARCH("Complete",O2)))</formula>
    </cfRule>
    <cfRule type="containsText" dxfId="1" priority="2" operator="between" text="Incomplete">
      <formula>NOT(ISERROR(SEARCH("Incomplete",O2)))</formula>
    </cfRule>
    <cfRule type="containsText" dxfId="2" priority="3" operator="between" text="Recheck">
      <formula>NOT(ISERROR(SEARCH("Recheck",O2)))</formula>
    </cfRule>
  </conditionalFormatting>
  <dataValidations count="8">
    <dataValidation type="list" sqref="C2:C85">
      <formula1>"complete,needs_recheck"</formula1>
    </dataValidation>
    <dataValidation type="list" sqref="D2:D85">
      <formula1>"yes,partly,no"</formula1>
    </dataValidation>
    <dataValidation type="list" sqref="E2:E85">
      <formula1>"clear,moderate,low"</formula1>
    </dataValidation>
    <dataValidation type="list" sqref="F2:F85">
      <formula1>"high,medium,low"</formula1>
    </dataValidation>
    <dataValidation type="list" sqref="J2:J85">
      <formula1>"none,minor,present"</formula1>
    </dataValidation>
    <dataValidation type="list" sqref="K2:K85">
      <formula1>"none,minor,moderate,strong"</formula1>
    </dataValidation>
    <dataValidation type="list" sqref="L2:L85">
      <formula1>"include,exclude,unsure"</formula1>
    </dataValidation>
    <dataValidation type="list" sqref="G2:I85">
      <formula1>"none_minor,moderate,strong"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showGridLines="0" tabSelected="1" workbookViewId="0">
      <selection activeCell="I13" sqref="I13"/>
    </sheetView>
  </sheetViews>
  <sheetFormatPr defaultColWidth="9" defaultRowHeight="15" outlineLevelCol="2"/>
  <cols>
    <col min="1" max="1" width="28" customWidth="1"/>
    <col min="2" max="2" width="42" customWidth="1"/>
    <col min="3" max="3" width="100" customWidth="1"/>
  </cols>
  <sheetData>
    <row r="1" customHeight="1" spans="1:3">
      <c r="A1" s="1" t="s">
        <v>241</v>
      </c>
      <c r="B1" s="1" t="s">
        <v>242</v>
      </c>
      <c r="C1" s="1" t="s">
        <v>243</v>
      </c>
    </row>
    <row r="2" customHeight="1" spans="1:3">
      <c r="A2" s="2" t="s">
        <v>33</v>
      </c>
      <c r="B2" s="2" t="s">
        <v>244</v>
      </c>
      <c r="C2" s="2" t="s">
        <v>245</v>
      </c>
    </row>
    <row r="3" customHeight="1" spans="1:3">
      <c r="A3" s="2" t="s">
        <v>34</v>
      </c>
      <c r="B3" s="2" t="s">
        <v>246</v>
      </c>
      <c r="C3" s="2" t="s">
        <v>247</v>
      </c>
    </row>
    <row r="4" customHeight="1" spans="1:3">
      <c r="A4" s="2" t="s">
        <v>35</v>
      </c>
      <c r="B4" s="2" t="s">
        <v>248</v>
      </c>
      <c r="C4" s="2" t="s">
        <v>249</v>
      </c>
    </row>
    <row r="5" customHeight="1" spans="1:3">
      <c r="A5" s="2" t="s">
        <v>36</v>
      </c>
      <c r="B5" s="2" t="s">
        <v>250</v>
      </c>
      <c r="C5" s="2" t="s">
        <v>251</v>
      </c>
    </row>
    <row r="6" customHeight="1" spans="1:3">
      <c r="A6" s="2" t="s">
        <v>37</v>
      </c>
      <c r="B6" s="2" t="s">
        <v>252</v>
      </c>
      <c r="C6" s="2" t="s">
        <v>253</v>
      </c>
    </row>
    <row r="7" customHeight="1" spans="1:3">
      <c r="A7" s="2" t="s">
        <v>38</v>
      </c>
      <c r="B7" s="2" t="s">
        <v>252</v>
      </c>
      <c r="C7" s="2" t="s">
        <v>254</v>
      </c>
    </row>
    <row r="8" customHeight="1" spans="1:3">
      <c r="A8" s="2" t="s">
        <v>39</v>
      </c>
      <c r="B8" s="2" t="s">
        <v>252</v>
      </c>
      <c r="C8" s="2" t="s">
        <v>255</v>
      </c>
    </row>
    <row r="9" customHeight="1" spans="1:3">
      <c r="A9" s="2" t="s">
        <v>40</v>
      </c>
      <c r="B9" s="2" t="s">
        <v>256</v>
      </c>
      <c r="C9" s="2" t="s">
        <v>257</v>
      </c>
    </row>
    <row r="10" customHeight="1" spans="1:3">
      <c r="A10" s="2" t="s">
        <v>41</v>
      </c>
      <c r="B10" s="2" t="s">
        <v>258</v>
      </c>
      <c r="C10" s="2" t="s">
        <v>259</v>
      </c>
    </row>
    <row r="11" customHeight="1" spans="1:3">
      <c r="A11" s="2" t="s">
        <v>42</v>
      </c>
      <c r="B11" s="2" t="s">
        <v>260</v>
      </c>
      <c r="C11" s="2" t="s">
        <v>261</v>
      </c>
    </row>
    <row r="12" customHeight="1" spans="1:3">
      <c r="A12" s="2" t="s">
        <v>43</v>
      </c>
      <c r="B12" s="2" t="s">
        <v>262</v>
      </c>
      <c r="C12" s="2" t="s">
        <v>263</v>
      </c>
    </row>
    <row r="13" customHeight="1" spans="1:3">
      <c r="A13" s="2" t="s">
        <v>44</v>
      </c>
      <c r="B13" s="2" t="s">
        <v>262</v>
      </c>
      <c r="C13" s="2" t="s">
        <v>264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Protocol</vt:lpstr>
      <vt:lpstr>Manual_Audit</vt:lpstr>
      <vt:lpstr>Codebook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炎龙兽</cp:lastModifiedBy>
  <dcterms:created xsi:type="dcterms:W3CDTF">2026-06-01T04:45:00Z</dcterms:created>
  <dcterms:modified xsi:type="dcterms:W3CDTF">2026-06-01T04:50:23Z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E350561F8BA141F881B6130823BFFB2C_12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